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tables/table1.xml" ContentType="application/vnd.openxmlformats-officedocument.spreadsheetml.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899C9086-67A9-5B14-2C2D-5A8001700F7D}"/>
  <workbookPr codeName="EstaPasta_de_trabalho" hidePivotFieldList="1"/>
  <mc:AlternateContent xmlns:mc="http://schemas.openxmlformats.org/markup-compatibility/2006">
    <mc:Choice Requires="x15">
      <x15ac:absPath xmlns:x15ac="http://schemas.microsoft.com/office/spreadsheetml/2010/11/ac" url="C:\Users\Usuario\Desktop\PAULO\EMPRESAS\DOCES\"/>
    </mc:Choice>
  </mc:AlternateContent>
  <xr:revisionPtr revIDLastSave="0" documentId="13_ncr:1_{2FEE2576-E3DB-4501-AD50-F999918652F6}" xr6:coauthVersionLast="47" xr6:coauthVersionMax="47" xr10:uidLastSave="{00000000-0000-0000-0000-000000000000}"/>
  <bookViews>
    <workbookView xWindow="-108" yWindow="-108" windowWidth="23256" windowHeight="12456" xr2:uid="{00000000-000D-0000-FFFF-FFFF00000000}"/>
  </bookViews>
  <sheets>
    <sheet name="Gráficos" sheetId="27" r:id="rId1"/>
    <sheet name="Vendas e Despesas" sheetId="24" r:id="rId2"/>
    <sheet name="Fluxo de Caixa" sheetId="32" r:id="rId3"/>
    <sheet name="Custo Produto" sheetId="10" r:id="rId4"/>
    <sheet name="RECEITAS" sheetId="29" state="hidden" r:id="rId5"/>
    <sheet name="Planilha1" sheetId="33" state="hidden" r:id="rId6"/>
    <sheet name="Planilha4" sheetId="28" state="hidden" r:id="rId7"/>
  </sheets>
  <definedNames>
    <definedName name="_xlnm._FilterDatabase" localSheetId="3" hidden="1">'Custo Produto'!$A$1:$V$99</definedName>
    <definedName name="_xlnm._FilterDatabase" localSheetId="2" hidden="1">'Fluxo de Caixa'!$A$1:$E$29</definedName>
    <definedName name="_xlnm._FilterDatabase" localSheetId="4" hidden="1">RECEITAS!$A$1:$G$31</definedName>
    <definedName name="NativeTimeline_Data">#N/A</definedName>
    <definedName name="SegmentaçãodeDados_Categoria1">#N/A</definedName>
    <definedName name="SegmentaçãodeDados_Mês">#N/A</definedName>
    <definedName name="SegmentaçãodeDados_Nome">#N/A</definedName>
    <definedName name="SegmentaçãodeDados_Produto1">#N/A</definedName>
    <definedName name="SegmentaçãodeDados_STATUS">#N/A</definedName>
  </definedNames>
  <calcPr calcId="191029"/>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P3" i="27" l="1"/>
  <c r="BP5" i="27"/>
  <c r="B120" i="24"/>
  <c r="E120" i="24"/>
  <c r="F120" i="24" s="1"/>
  <c r="G120" i="24"/>
  <c r="K120" i="24"/>
  <c r="B118" i="24"/>
  <c r="B119" i="24"/>
  <c r="E118" i="24"/>
  <c r="F118" i="24" s="1"/>
  <c r="G118" i="24"/>
  <c r="K118" i="24"/>
  <c r="K119" i="24"/>
  <c r="B100" i="24"/>
  <c r="F100" i="24"/>
  <c r="K100" i="24"/>
  <c r="B102" i="24"/>
  <c r="F102" i="24"/>
  <c r="K102" i="24"/>
  <c r="B101" i="24"/>
  <c r="F101" i="24"/>
  <c r="K101" i="24"/>
  <c r="B99" i="24"/>
  <c r="K99" i="24"/>
  <c r="E2" i="24"/>
  <c r="F2" i="24" s="1"/>
  <c r="G2" i="24"/>
  <c r="E3" i="24"/>
  <c r="F3" i="24" s="1"/>
  <c r="G3" i="24"/>
  <c r="E4" i="24"/>
  <c r="F4" i="24" s="1"/>
  <c r="G4" i="24"/>
  <c r="E5" i="24"/>
  <c r="F5" i="24" s="1"/>
  <c r="G5" i="24"/>
  <c r="E6" i="24"/>
  <c r="F6" i="24" s="1"/>
  <c r="E9" i="24"/>
  <c r="F9" i="24" s="1"/>
  <c r="G9" i="24"/>
  <c r="E10" i="24"/>
  <c r="F10" i="24" s="1"/>
  <c r="E11" i="24"/>
  <c r="F11" i="24" s="1"/>
  <c r="G11" i="24"/>
  <c r="E12" i="24"/>
  <c r="F12" i="24" s="1"/>
  <c r="G12" i="24"/>
  <c r="E14" i="24"/>
  <c r="F14" i="24" s="1"/>
  <c r="G14" i="24"/>
  <c r="E15" i="24"/>
  <c r="F15" i="24" s="1"/>
  <c r="G15" i="24"/>
  <c r="E16" i="24"/>
  <c r="F16" i="24" s="1"/>
  <c r="G16" i="24"/>
  <c r="E17" i="24"/>
  <c r="F17" i="24" s="1"/>
  <c r="G17" i="24"/>
  <c r="E18" i="24"/>
  <c r="F18" i="24" s="1"/>
  <c r="G18" i="24"/>
  <c r="E25" i="24"/>
  <c r="F25" i="24" s="1"/>
  <c r="G25" i="24"/>
  <c r="E26" i="24"/>
  <c r="F26" i="24" s="1"/>
  <c r="G26" i="24"/>
  <c r="E27" i="24"/>
  <c r="F27" i="24" s="1"/>
  <c r="G27" i="24"/>
  <c r="E28" i="24"/>
  <c r="F28" i="24" s="1"/>
  <c r="G28" i="24"/>
  <c r="E29" i="24"/>
  <c r="F29" i="24" s="1"/>
  <c r="G29" i="24"/>
  <c r="E30" i="24"/>
  <c r="F30" i="24" s="1"/>
  <c r="G30" i="24"/>
  <c r="E31" i="24"/>
  <c r="F31" i="24" s="1"/>
  <c r="G31" i="24"/>
  <c r="E32" i="24"/>
  <c r="F32" i="24" s="1"/>
  <c r="G32" i="24"/>
  <c r="E35" i="24"/>
  <c r="F35" i="24" s="1"/>
  <c r="G35" i="24"/>
  <c r="E36" i="24"/>
  <c r="F36" i="24" s="1"/>
  <c r="E38" i="24"/>
  <c r="F38" i="24" s="1"/>
  <c r="G38" i="24"/>
  <c r="E39" i="24"/>
  <c r="F39" i="24" s="1"/>
  <c r="G39" i="24"/>
  <c r="E40" i="24"/>
  <c r="F40" i="24" s="1"/>
  <c r="G40" i="24"/>
  <c r="E41" i="24"/>
  <c r="F41" i="24" s="1"/>
  <c r="G41" i="24"/>
  <c r="E42" i="24"/>
  <c r="F42" i="24" s="1"/>
  <c r="G42" i="24"/>
  <c r="E46" i="24"/>
  <c r="F46" i="24" s="1"/>
  <c r="G46" i="24"/>
  <c r="E48" i="24"/>
  <c r="F48" i="24" s="1"/>
  <c r="G48" i="24"/>
  <c r="E49" i="24"/>
  <c r="F49" i="24" s="1"/>
  <c r="G49" i="24"/>
  <c r="E50" i="24"/>
  <c r="F50" i="24" s="1"/>
  <c r="G50" i="24"/>
  <c r="E52" i="24"/>
  <c r="F52" i="24" s="1"/>
  <c r="G52" i="24"/>
  <c r="E53" i="24"/>
  <c r="F53" i="24" s="1"/>
  <c r="G53" i="24"/>
  <c r="E54" i="24"/>
  <c r="F54" i="24" s="1"/>
  <c r="G54" i="24"/>
  <c r="E55" i="24"/>
  <c r="F55" i="24" s="1"/>
  <c r="G55" i="24"/>
  <c r="E56" i="24"/>
  <c r="F56" i="24" s="1"/>
  <c r="G56" i="24"/>
  <c r="E57" i="24"/>
  <c r="F57" i="24" s="1"/>
  <c r="G57" i="24"/>
  <c r="F58" i="24"/>
  <c r="E61" i="24"/>
  <c r="F61" i="24" s="1"/>
  <c r="G61" i="24"/>
  <c r="E62" i="24"/>
  <c r="F62" i="24" s="1"/>
  <c r="G62" i="24"/>
  <c r="E63" i="24"/>
  <c r="F63" i="24" s="1"/>
  <c r="G63" i="24"/>
  <c r="E64" i="24"/>
  <c r="F64" i="24" s="1"/>
  <c r="G64" i="24"/>
  <c r="E66" i="24"/>
  <c r="F66" i="24" s="1"/>
  <c r="G66" i="24"/>
  <c r="E67" i="24"/>
  <c r="F67" i="24" s="1"/>
  <c r="G67" i="24"/>
  <c r="E68" i="24"/>
  <c r="F68" i="24" s="1"/>
  <c r="G68" i="24"/>
  <c r="F69" i="24"/>
  <c r="E70" i="24"/>
  <c r="F70" i="24" s="1"/>
  <c r="G70" i="24"/>
  <c r="E72" i="24"/>
  <c r="F72" i="24" s="1"/>
  <c r="G72" i="24"/>
  <c r="E73" i="24"/>
  <c r="F73" i="24" s="1"/>
  <c r="G73" i="24"/>
  <c r="E74" i="24"/>
  <c r="F74" i="24" s="1"/>
  <c r="G74" i="24"/>
  <c r="E75" i="24"/>
  <c r="F75" i="24" s="1"/>
  <c r="G75" i="24"/>
  <c r="E81" i="24"/>
  <c r="F81" i="24" s="1"/>
  <c r="G81" i="24"/>
  <c r="F82" i="24"/>
  <c r="E83" i="24"/>
  <c r="F83" i="24" s="1"/>
  <c r="G83" i="24"/>
  <c r="E84" i="24"/>
  <c r="F84" i="24" s="1"/>
  <c r="G84" i="24"/>
  <c r="F85" i="24"/>
  <c r="E86" i="24"/>
  <c r="F86" i="24" s="1"/>
  <c r="G86" i="24"/>
  <c r="E87" i="24"/>
  <c r="F87" i="24" s="1"/>
  <c r="G87" i="24"/>
  <c r="E88" i="24"/>
  <c r="F88" i="24" s="1"/>
  <c r="G88" i="24"/>
  <c r="E76" i="24"/>
  <c r="F76" i="24" s="1"/>
  <c r="G76" i="24"/>
  <c r="E89" i="24"/>
  <c r="F89" i="24" s="1"/>
  <c r="G89" i="24"/>
  <c r="E90" i="24"/>
  <c r="F90" i="24" s="1"/>
  <c r="G90" i="24"/>
  <c r="E91" i="24"/>
  <c r="F91" i="24" s="1"/>
  <c r="G91" i="24"/>
  <c r="E92" i="24"/>
  <c r="F92" i="24" s="1"/>
  <c r="G92" i="24"/>
  <c r="E93" i="24"/>
  <c r="F93" i="24" s="1"/>
  <c r="G93" i="24"/>
  <c r="E94" i="24"/>
  <c r="F94" i="24" s="1"/>
  <c r="G94" i="24"/>
  <c r="E95" i="24"/>
  <c r="F95" i="24" s="1"/>
  <c r="G95" i="24"/>
  <c r="E97" i="24"/>
  <c r="F97" i="24" s="1"/>
  <c r="G97" i="24"/>
  <c r="E103" i="24"/>
  <c r="F103" i="24" s="1"/>
  <c r="G103" i="24"/>
  <c r="E109" i="24"/>
  <c r="F109" i="24" s="1"/>
  <c r="G109" i="24"/>
  <c r="E110" i="24"/>
  <c r="F110" i="24" s="1"/>
  <c r="G110" i="24"/>
  <c r="E117" i="24"/>
  <c r="F117" i="24" s="1"/>
  <c r="G117" i="24"/>
  <c r="F7" i="24"/>
  <c r="F8" i="24"/>
  <c r="F13" i="24"/>
  <c r="F19" i="24"/>
  <c r="F20" i="24"/>
  <c r="F21" i="24"/>
  <c r="F22" i="24"/>
  <c r="F23" i="24"/>
  <c r="F24" i="24"/>
  <c r="F33" i="24"/>
  <c r="F34" i="24"/>
  <c r="F37" i="24"/>
  <c r="F43" i="24"/>
  <c r="F44" i="24"/>
  <c r="F45" i="24"/>
  <c r="F59" i="24"/>
  <c r="F60" i="24"/>
  <c r="F80" i="24"/>
  <c r="F65" i="24"/>
  <c r="F77" i="24"/>
  <c r="F78" i="24"/>
  <c r="F79" i="24"/>
  <c r="F96" i="24"/>
  <c r="F71" i="24"/>
  <c r="K18" i="24"/>
  <c r="B115" i="24"/>
  <c r="B116" i="24"/>
  <c r="B117" i="24"/>
  <c r="K115" i="24"/>
  <c r="K116" i="24"/>
  <c r="K117" i="24"/>
  <c r="B104" i="24"/>
  <c r="K104" i="24"/>
  <c r="B112" i="24"/>
  <c r="B113" i="24"/>
  <c r="B114" i="24"/>
  <c r="K112" i="24"/>
  <c r="K113" i="24"/>
  <c r="K114" i="24"/>
  <c r="B103" i="24"/>
  <c r="B105" i="24"/>
  <c r="B106" i="24"/>
  <c r="B107" i="24"/>
  <c r="B108" i="24"/>
  <c r="B109" i="24"/>
  <c r="B110" i="24"/>
  <c r="B111" i="24"/>
  <c r="K103" i="24"/>
  <c r="K105" i="24"/>
  <c r="K106" i="24"/>
  <c r="K107" i="24"/>
  <c r="K108" i="24"/>
  <c r="K109" i="24"/>
  <c r="K110" i="24"/>
  <c r="K111" i="24"/>
  <c r="B96" i="24"/>
  <c r="K96" i="24"/>
  <c r="K98" i="24"/>
  <c r="B98" i="24"/>
  <c r="K97" i="24"/>
  <c r="B97" i="24"/>
  <c r="B94" i="24"/>
  <c r="B95" i="24"/>
  <c r="K94" i="24"/>
  <c r="K95" i="24"/>
  <c r="B90" i="24"/>
  <c r="B91" i="24"/>
  <c r="B92" i="24"/>
  <c r="B93" i="24"/>
  <c r="K90" i="24"/>
  <c r="K91" i="24"/>
  <c r="K92" i="24"/>
  <c r="K93" i="24"/>
  <c r="B89" i="24"/>
  <c r="K89" i="24"/>
  <c r="B76" i="24"/>
  <c r="K76" i="24"/>
  <c r="B87" i="24"/>
  <c r="B88" i="24"/>
  <c r="K87" i="24"/>
  <c r="K88" i="24"/>
  <c r="B86" i="24"/>
  <c r="K86" i="24"/>
  <c r="B81" i="24"/>
  <c r="B82" i="24"/>
  <c r="B83" i="24"/>
  <c r="B84" i="24"/>
  <c r="B85" i="24"/>
  <c r="K81" i="24"/>
  <c r="K82" i="24"/>
  <c r="K83" i="24"/>
  <c r="K84" i="24"/>
  <c r="K85" i="24"/>
  <c r="B79" i="24"/>
  <c r="K79" i="24"/>
  <c r="B78" i="24"/>
  <c r="K78" i="24"/>
  <c r="B77" i="24"/>
  <c r="K77" i="24"/>
  <c r="B80" i="24"/>
  <c r="K80" i="24"/>
  <c r="B71" i="24"/>
  <c r="K71" i="24"/>
  <c r="B72" i="24"/>
  <c r="B73" i="24"/>
  <c r="B74" i="24"/>
  <c r="B75" i="24"/>
  <c r="K72" i="24"/>
  <c r="K73" i="24"/>
  <c r="K74" i="24"/>
  <c r="K75" i="24"/>
  <c r="V4" i="32"/>
  <c r="V3" i="32"/>
  <c r="J2" i="32"/>
  <c r="J3" i="32"/>
  <c r="J4" i="32"/>
  <c r="J5" i="32"/>
  <c r="J6" i="32"/>
  <c r="J1" i="32"/>
  <c r="B60" i="24"/>
  <c r="K60" i="24"/>
  <c r="B70" i="24"/>
  <c r="K70" i="24"/>
  <c r="B69" i="24"/>
  <c r="K69" i="24"/>
  <c r="B61" i="24"/>
  <c r="B62" i="24"/>
  <c r="B63" i="24"/>
  <c r="B64" i="24"/>
  <c r="B66" i="24"/>
  <c r="B67" i="24"/>
  <c r="B68" i="24"/>
  <c r="K61" i="24"/>
  <c r="K62" i="24"/>
  <c r="K63" i="24"/>
  <c r="K64" i="24"/>
  <c r="K66" i="24"/>
  <c r="K67" i="24"/>
  <c r="K68" i="24"/>
  <c r="B65" i="24"/>
  <c r="K65" i="24"/>
  <c r="Q97" i="10"/>
  <c r="Q96" i="10"/>
  <c r="X7" i="33"/>
  <c r="X6" i="33"/>
  <c r="X5" i="33"/>
  <c r="X4" i="33"/>
  <c r="X3" i="33"/>
  <c r="B45" i="24"/>
  <c r="K45" i="24"/>
  <c r="B59" i="24"/>
  <c r="K59" i="24"/>
  <c r="BB2" i="27"/>
  <c r="AY2" i="27"/>
  <c r="B2" i="24"/>
  <c r="B3" i="24"/>
  <c r="B4" i="24"/>
  <c r="B5" i="24"/>
  <c r="B6" i="24"/>
  <c r="B7" i="24"/>
  <c r="B33" i="24"/>
  <c r="B8" i="24"/>
  <c r="B20" i="24"/>
  <c r="B19" i="24"/>
  <c r="B34" i="24"/>
  <c r="B24" i="24"/>
  <c r="B21" i="24"/>
  <c r="B22" i="24"/>
  <c r="B23" i="24"/>
  <c r="B13" i="24"/>
  <c r="B43" i="24"/>
  <c r="B44" i="24"/>
  <c r="B37" i="24"/>
  <c r="B9" i="24"/>
  <c r="B10" i="24"/>
  <c r="B11" i="24"/>
  <c r="B12" i="24"/>
  <c r="B14" i="24"/>
  <c r="B15" i="24"/>
  <c r="B16" i="24"/>
  <c r="B17" i="24"/>
  <c r="B18" i="24"/>
  <c r="B25" i="24"/>
  <c r="B26" i="24"/>
  <c r="B27" i="24"/>
  <c r="B28" i="24"/>
  <c r="B29" i="24"/>
  <c r="B30" i="24"/>
  <c r="B31" i="24"/>
  <c r="B35" i="24"/>
  <c r="B36" i="24"/>
  <c r="B32" i="24"/>
  <c r="B38" i="24"/>
  <c r="B39" i="24"/>
  <c r="B40" i="24"/>
  <c r="B41" i="24"/>
  <c r="B42" i="24"/>
  <c r="B46" i="24"/>
  <c r="B47" i="24"/>
  <c r="B48" i="24"/>
  <c r="B49" i="24"/>
  <c r="B50" i="24"/>
  <c r="B51" i="24"/>
  <c r="B52" i="24"/>
  <c r="B53" i="24"/>
  <c r="B54" i="24"/>
  <c r="B55" i="24"/>
  <c r="B56" i="24"/>
  <c r="B57" i="24"/>
  <c r="B58" i="24"/>
  <c r="P20" i="33"/>
  <c r="P22" i="33" s="1"/>
  <c r="P24" i="33" s="1"/>
  <c r="L20" i="33"/>
  <c r="H20" i="33"/>
  <c r="D20" i="33"/>
  <c r="L10" i="33"/>
  <c r="H10" i="33"/>
  <c r="D10" i="33"/>
  <c r="K58" i="24"/>
  <c r="K47" i="24"/>
  <c r="K51" i="24"/>
  <c r="K43" i="24"/>
  <c r="K44" i="24"/>
  <c r="K37" i="24"/>
  <c r="K33" i="24"/>
  <c r="K34" i="24"/>
  <c r="G54" i="10"/>
  <c r="H54" i="10" s="1"/>
  <c r="G34" i="10"/>
  <c r="H34" i="10" s="1"/>
  <c r="G8" i="10"/>
  <c r="H8" i="10" s="1"/>
  <c r="G58" i="10"/>
  <c r="H58" i="10" s="1"/>
  <c r="G66" i="10"/>
  <c r="H66" i="10" s="1"/>
  <c r="G39" i="10"/>
  <c r="H39" i="10" s="1"/>
  <c r="G45" i="10"/>
  <c r="H45" i="10" s="1"/>
  <c r="K26" i="10"/>
  <c r="K29" i="10"/>
  <c r="G18" i="10"/>
  <c r="H18" i="10" s="1"/>
  <c r="K16" i="10"/>
  <c r="G64" i="10"/>
  <c r="M1" i="32" l="1"/>
  <c r="V5" i="32"/>
  <c r="M2" i="32"/>
  <c r="M26" i="10"/>
  <c r="AA2" i="27"/>
  <c r="AD2" i="27"/>
  <c r="W2" i="27"/>
  <c r="AJ2" i="27"/>
  <c r="G55" i="10"/>
  <c r="H55" i="10" s="1"/>
  <c r="G53" i="10"/>
  <c r="H53" i="10" s="1"/>
  <c r="G52" i="10"/>
  <c r="H52" i="10" s="1"/>
  <c r="G51" i="10"/>
  <c r="H51" i="10" s="1"/>
  <c r="G83" i="10"/>
  <c r="H83" i="10" s="1"/>
  <c r="G82" i="10"/>
  <c r="H82" i="10" s="1"/>
  <c r="G81" i="10"/>
  <c r="H81" i="10" s="1"/>
  <c r="G92" i="10"/>
  <c r="H92" i="10" s="1"/>
  <c r="G91" i="10"/>
  <c r="H91" i="10" s="1"/>
  <c r="G90" i="10"/>
  <c r="H90" i="10" s="1"/>
  <c r="G89" i="10"/>
  <c r="H89" i="10" s="1"/>
  <c r="G88" i="10"/>
  <c r="H88" i="10" s="1"/>
  <c r="G80" i="10"/>
  <c r="H80" i="10" s="1"/>
  <c r="G79" i="10"/>
  <c r="H79" i="10" s="1"/>
  <c r="G78" i="10"/>
  <c r="H78" i="10" s="1"/>
  <c r="G77" i="10"/>
  <c r="H77" i="10" s="1"/>
  <c r="G95" i="10"/>
  <c r="H95" i="10" s="1"/>
  <c r="G94" i="10"/>
  <c r="H94" i="10" s="1"/>
  <c r="G93" i="10"/>
  <c r="H93" i="10" s="1"/>
  <c r="G50" i="10"/>
  <c r="H50" i="10" s="1"/>
  <c r="G49" i="10"/>
  <c r="H49" i="10" s="1"/>
  <c r="G48" i="10"/>
  <c r="H48" i="10" s="1"/>
  <c r="G47" i="10"/>
  <c r="H47" i="10" s="1"/>
  <c r="M4" i="32" l="1"/>
  <c r="K6" i="24"/>
  <c r="K10" i="24"/>
  <c r="K23" i="24"/>
  <c r="K22" i="24"/>
  <c r="K21" i="24"/>
  <c r="G63" i="10"/>
  <c r="H63" i="10" s="1"/>
  <c r="G62" i="10"/>
  <c r="H62" i="10" s="1"/>
  <c r="G61" i="10"/>
  <c r="H61" i="10" s="1"/>
  <c r="G60" i="10"/>
  <c r="H60" i="10" s="1"/>
  <c r="G59" i="10"/>
  <c r="H59" i="10" s="1"/>
  <c r="G57" i="10"/>
  <c r="H57" i="10" s="1"/>
  <c r="G56" i="10"/>
  <c r="H56" i="10" s="1"/>
  <c r="I93" i="10"/>
  <c r="K93" i="10"/>
  <c r="M93" i="10" s="1"/>
  <c r="I88" i="10"/>
  <c r="K88" i="10"/>
  <c r="M88" i="10" s="1"/>
  <c r="G86" i="10"/>
  <c r="H86" i="10" s="1"/>
  <c r="G85" i="10"/>
  <c r="H85" i="10" s="1"/>
  <c r="G84" i="10"/>
  <c r="H84" i="10" s="1"/>
  <c r="I81" i="10"/>
  <c r="K81" i="10"/>
  <c r="M81" i="10" s="1"/>
  <c r="K84" i="10"/>
  <c r="M84" i="10" s="1"/>
  <c r="K77" i="10"/>
  <c r="M77" i="10" s="1"/>
  <c r="I77" i="10"/>
  <c r="G87" i="10"/>
  <c r="H87" i="10" s="1"/>
  <c r="K68" i="10"/>
  <c r="M68" i="10" s="1"/>
  <c r="K71" i="10"/>
  <c r="K74" i="10"/>
  <c r="G76" i="10"/>
  <c r="H76" i="10" s="1"/>
  <c r="G75" i="10"/>
  <c r="H75" i="10" s="1"/>
  <c r="G74" i="10"/>
  <c r="H74" i="10" s="1"/>
  <c r="G73" i="10"/>
  <c r="H73" i="10" s="1"/>
  <c r="G72" i="10"/>
  <c r="H72" i="10" s="1"/>
  <c r="G71" i="10"/>
  <c r="H71" i="10" s="1"/>
  <c r="G70" i="10"/>
  <c r="H70" i="10" s="1"/>
  <c r="G69" i="10"/>
  <c r="H69" i="10" s="1"/>
  <c r="G68" i="10"/>
  <c r="H68" i="10" s="1"/>
  <c r="I47" i="10"/>
  <c r="K47" i="10"/>
  <c r="M47" i="10" s="1"/>
  <c r="I51" i="10"/>
  <c r="K51" i="10"/>
  <c r="M51" i="10" s="1"/>
  <c r="K56" i="10"/>
  <c r="M56" i="10" s="1"/>
  <c r="K60" i="10"/>
  <c r="M60" i="10" s="1"/>
  <c r="K64" i="10"/>
  <c r="M64" i="10" s="1"/>
  <c r="G67" i="10"/>
  <c r="H67" i="10" s="1"/>
  <c r="G65" i="10"/>
  <c r="H65" i="10" s="1"/>
  <c r="H64" i="10"/>
  <c r="K43" i="10"/>
  <c r="M43" i="10" s="1"/>
  <c r="K36" i="10"/>
  <c r="M36" i="10" s="1"/>
  <c r="G43" i="10"/>
  <c r="H43" i="10" s="1"/>
  <c r="G44" i="10"/>
  <c r="H44" i="10" s="1"/>
  <c r="G46" i="10"/>
  <c r="H46" i="10" s="1"/>
  <c r="K32" i="10"/>
  <c r="G40" i="10"/>
  <c r="H40" i="10" s="1"/>
  <c r="G41" i="10"/>
  <c r="H41" i="10" s="1"/>
  <c r="G42" i="10"/>
  <c r="H42" i="10" s="1"/>
  <c r="G36" i="10"/>
  <c r="H36" i="10" s="1"/>
  <c r="G37" i="10"/>
  <c r="H37" i="10" s="1"/>
  <c r="G38" i="10"/>
  <c r="H38" i="10" s="1"/>
  <c r="I56" i="10" l="1"/>
  <c r="P88" i="10"/>
  <c r="Q88" i="10" s="1"/>
  <c r="T88" i="10" s="1"/>
  <c r="I84" i="10"/>
  <c r="P84" i="10" s="1"/>
  <c r="Q84" i="10" s="1"/>
  <c r="T84" i="10" s="1"/>
  <c r="R84" i="10" s="1"/>
  <c r="P93" i="10"/>
  <c r="Q93" i="10" s="1"/>
  <c r="T93" i="10" s="1"/>
  <c r="R93" i="10" s="1"/>
  <c r="I60" i="10"/>
  <c r="P60" i="10" s="1"/>
  <c r="Q60" i="10" s="1"/>
  <c r="T60" i="10" s="1"/>
  <c r="P56" i="10"/>
  <c r="Q56" i="10" s="1"/>
  <c r="T56" i="10" s="1"/>
  <c r="P81" i="10"/>
  <c r="Q81" i="10" s="1"/>
  <c r="T81" i="10" s="1"/>
  <c r="R81" i="10" s="1"/>
  <c r="I64" i="10"/>
  <c r="P64" i="10" s="1"/>
  <c r="Q64" i="10" s="1"/>
  <c r="T64" i="10" s="1"/>
  <c r="I68" i="10"/>
  <c r="P68" i="10" s="1"/>
  <c r="P77" i="10"/>
  <c r="Q77" i="10" s="1"/>
  <c r="T77" i="10" s="1"/>
  <c r="R77" i="10" s="1"/>
  <c r="I43" i="10"/>
  <c r="P43" i="10" s="1"/>
  <c r="Q43" i="10" s="1"/>
  <c r="T43" i="10" s="1"/>
  <c r="P47" i="10"/>
  <c r="Q47" i="10" s="1"/>
  <c r="T47" i="10" s="1"/>
  <c r="I74" i="10"/>
  <c r="P74" i="10" s="1"/>
  <c r="I71" i="10"/>
  <c r="P71" i="10" s="1"/>
  <c r="P51" i="10"/>
  <c r="Q51" i="10" s="1"/>
  <c r="T51" i="10" s="1"/>
  <c r="R51" i="10" s="1"/>
  <c r="I36" i="10"/>
  <c r="P36" i="10" s="1"/>
  <c r="Q36" i="10" s="1"/>
  <c r="T36" i="10" s="1"/>
  <c r="V36" i="10" s="1"/>
  <c r="G28" i="10"/>
  <c r="H28" i="10" s="1"/>
  <c r="G27" i="10"/>
  <c r="H27" i="10" s="1"/>
  <c r="G26" i="10"/>
  <c r="H26" i="10" s="1"/>
  <c r="G31" i="10"/>
  <c r="H31" i="10" s="1"/>
  <c r="G30" i="10"/>
  <c r="H30" i="10" s="1"/>
  <c r="G29" i="10"/>
  <c r="H29" i="10" s="1"/>
  <c r="G25" i="10"/>
  <c r="H25" i="10" s="1"/>
  <c r="G24" i="10"/>
  <c r="H24" i="10" s="1"/>
  <c r="K23" i="10"/>
  <c r="M23" i="10" s="1"/>
  <c r="G23" i="10"/>
  <c r="H23" i="10" s="1"/>
  <c r="I23" i="10" l="1"/>
  <c r="V93" i="10"/>
  <c r="U93" i="10"/>
  <c r="V88" i="10"/>
  <c r="R88" i="10"/>
  <c r="U88" i="10" s="1"/>
  <c r="Q68" i="10"/>
  <c r="T68" i="10" s="1"/>
  <c r="V68" i="10" s="1"/>
  <c r="U84" i="10"/>
  <c r="V84" i="10"/>
  <c r="V81" i="10"/>
  <c r="U81" i="10"/>
  <c r="V77" i="10"/>
  <c r="U77" i="10"/>
  <c r="R56" i="10"/>
  <c r="U56" i="10" s="1"/>
  <c r="U51" i="10"/>
  <c r="V51" i="10"/>
  <c r="V64" i="10"/>
  <c r="V60" i="10"/>
  <c r="V56" i="10"/>
  <c r="V47" i="10"/>
  <c r="R64" i="10"/>
  <c r="U64" i="10" s="1"/>
  <c r="R47" i="10"/>
  <c r="U47" i="10" s="1"/>
  <c r="R60" i="10"/>
  <c r="U60" i="10" s="1"/>
  <c r="V43" i="10"/>
  <c r="R43" i="10"/>
  <c r="U43" i="10" s="1"/>
  <c r="R36" i="10"/>
  <c r="U36" i="10" s="1"/>
  <c r="I29" i="10"/>
  <c r="P29" i="10" s="1"/>
  <c r="I26" i="10"/>
  <c r="P26" i="10" s="1"/>
  <c r="BJ2" i="27"/>
  <c r="BF2" i="27"/>
  <c r="BE2" i="27"/>
  <c r="BP9" i="27"/>
  <c r="BP11" i="27" s="1"/>
  <c r="K13" i="24"/>
  <c r="K24" i="24"/>
  <c r="K19" i="24"/>
  <c r="K20" i="24"/>
  <c r="F28" i="29"/>
  <c r="F23" i="29"/>
  <c r="F19" i="29"/>
  <c r="F15" i="29"/>
  <c r="F11" i="29"/>
  <c r="F7" i="29"/>
  <c r="F2" i="29"/>
  <c r="E28" i="29"/>
  <c r="E23" i="29"/>
  <c r="E19" i="29"/>
  <c r="E15" i="29"/>
  <c r="E11" i="29"/>
  <c r="E7" i="29"/>
  <c r="E2" i="29"/>
  <c r="K8" i="24"/>
  <c r="AP2" i="27"/>
  <c r="AV2" i="27"/>
  <c r="AS2" i="27"/>
  <c r="K7" i="24"/>
  <c r="G5" i="10"/>
  <c r="H5" i="10" s="1"/>
  <c r="K6" i="10"/>
  <c r="M6" i="10" s="1"/>
  <c r="K10" i="10"/>
  <c r="M10" i="10" s="1"/>
  <c r="K13" i="10"/>
  <c r="M13" i="10" s="1"/>
  <c r="M16" i="10"/>
  <c r="K20" i="10"/>
  <c r="M20" i="10" s="1"/>
  <c r="M32" i="10"/>
  <c r="K2" i="10"/>
  <c r="M2" i="10" s="1"/>
  <c r="G99" i="10"/>
  <c r="H99" i="10" s="1"/>
  <c r="G98" i="10"/>
  <c r="H98" i="10" s="1"/>
  <c r="G97" i="10"/>
  <c r="H97" i="10" s="1"/>
  <c r="G96" i="10"/>
  <c r="H96" i="10" s="1"/>
  <c r="G35" i="10"/>
  <c r="H35" i="10" s="1"/>
  <c r="G33" i="10"/>
  <c r="H33" i="10" s="1"/>
  <c r="G32" i="10"/>
  <c r="H32" i="10" s="1"/>
  <c r="G17" i="10"/>
  <c r="H17" i="10" s="1"/>
  <c r="G19" i="10"/>
  <c r="H19" i="10" s="1"/>
  <c r="G20" i="10"/>
  <c r="H20" i="10" s="1"/>
  <c r="G21" i="10"/>
  <c r="H21" i="10" s="1"/>
  <c r="G22" i="10"/>
  <c r="H22" i="10" s="1"/>
  <c r="AM2" i="27"/>
  <c r="AG2" i="27"/>
  <c r="G10" i="10"/>
  <c r="H10" i="10" s="1"/>
  <c r="G11" i="10"/>
  <c r="H11" i="10" s="1"/>
  <c r="G12" i="10"/>
  <c r="H12" i="10" s="1"/>
  <c r="G13" i="10"/>
  <c r="H13" i="10" s="1"/>
  <c r="G14" i="10"/>
  <c r="H14" i="10" s="1"/>
  <c r="G15" i="10"/>
  <c r="H15" i="10" s="1"/>
  <c r="G16" i="10"/>
  <c r="H16" i="10" s="1"/>
  <c r="G4" i="10"/>
  <c r="H4" i="10" s="1"/>
  <c r="G9" i="10"/>
  <c r="H9" i="10" s="1"/>
  <c r="G2" i="10"/>
  <c r="H2" i="10" s="1"/>
  <c r="G3" i="10"/>
  <c r="H3" i="10" s="1"/>
  <c r="G6" i="10"/>
  <c r="G7" i="10"/>
  <c r="H7" i="10" s="1"/>
  <c r="BG4" i="27"/>
  <c r="I2" i="10" l="1"/>
  <c r="P2" i="10" s="1"/>
  <c r="P23" i="10"/>
  <c r="Q23" i="10" s="1"/>
  <c r="T23" i="10" s="1"/>
  <c r="R23" i="10" s="1"/>
  <c r="Q26" i="10"/>
  <c r="T26" i="10" s="1"/>
  <c r="V26" i="10" s="1"/>
  <c r="R68" i="10"/>
  <c r="U68" i="10" s="1"/>
  <c r="BK4" i="27"/>
  <c r="BL4" i="27" s="1"/>
  <c r="I10" i="10"/>
  <c r="I20" i="10"/>
  <c r="P20" i="10" s="1"/>
  <c r="Q20" i="10" s="1"/>
  <c r="T20" i="10" s="1"/>
  <c r="I32" i="10"/>
  <c r="P32" i="10" s="1"/>
  <c r="Q32" i="10" s="1"/>
  <c r="T32" i="10" s="1"/>
  <c r="I16" i="10"/>
  <c r="P16" i="10" s="1"/>
  <c r="Q16" i="10" s="1"/>
  <c r="I13" i="10"/>
  <c r="P13" i="10" s="1"/>
  <c r="Q13" i="10" s="1"/>
  <c r="T13" i="10" s="1"/>
  <c r="H6" i="10"/>
  <c r="I6" i="10" s="1"/>
  <c r="P6" i="10" s="1"/>
  <c r="Q6" i="10" s="1"/>
  <c r="R26" i="10" l="1"/>
  <c r="U26" i="10" s="1"/>
  <c r="V23" i="10"/>
  <c r="U23" i="10"/>
  <c r="V32" i="10"/>
  <c r="V20" i="10"/>
  <c r="P10" i="10"/>
  <c r="Q10" i="10" s="1"/>
  <c r="T10" i="10" s="1"/>
  <c r="T16" i="10"/>
  <c r="R32" i="10"/>
  <c r="U32" i="10" s="1"/>
  <c r="R20" i="10"/>
  <c r="U20" i="10" s="1"/>
  <c r="V13" i="10"/>
  <c r="R13" i="10"/>
  <c r="U13" i="10" s="1"/>
  <c r="T6" i="10"/>
  <c r="Q2" i="10"/>
  <c r="V16" i="10" l="1"/>
  <c r="V10" i="10"/>
  <c r="T2" i="10"/>
  <c r="R10" i="10"/>
  <c r="U10" i="10" s="1"/>
  <c r="R16" i="10"/>
  <c r="U16" i="10" s="1"/>
  <c r="V6" i="10"/>
  <c r="R6" i="10"/>
  <c r="U6" i="10" s="1"/>
  <c r="P97" i="10" l="1"/>
  <c r="V2" i="10"/>
  <c r="T96" i="10"/>
  <c r="P96" i="10"/>
  <c r="T97" i="10"/>
  <c r="R97" i="10" s="1"/>
  <c r="R2" i="10"/>
  <c r="U2" i="10" s="1"/>
  <c r="K55" i="24" l="1"/>
  <c r="K50" i="24"/>
  <c r="K46" i="24"/>
  <c r="K52" i="24"/>
  <c r="K48" i="24"/>
  <c r="K53" i="24"/>
  <c r="K49" i="24"/>
  <c r="K54" i="24"/>
  <c r="K56" i="24"/>
  <c r="K57" i="24"/>
  <c r="K42" i="24"/>
  <c r="K38" i="24"/>
  <c r="K39" i="24"/>
  <c r="K41" i="24"/>
  <c r="K40" i="24"/>
  <c r="Q98" i="10"/>
  <c r="V97" i="10"/>
  <c r="U97" i="10" s="1"/>
  <c r="K14" i="24"/>
  <c r="K15" i="24"/>
  <c r="K32" i="24"/>
  <c r="K16" i="24"/>
  <c r="K17" i="24"/>
  <c r="T98" i="10"/>
  <c r="R98" i="10" s="1"/>
  <c r="P98" i="10" l="1"/>
  <c r="V98" i="10" s="1"/>
  <c r="U98" i="10" s="1"/>
  <c r="Q99" i="10"/>
  <c r="K36" i="24"/>
  <c r="K35" i="24"/>
  <c r="K31" i="24"/>
  <c r="K3" i="24"/>
  <c r="K9" i="24"/>
  <c r="K2" i="24"/>
  <c r="K4" i="24"/>
  <c r="K12" i="24"/>
  <c r="K5" i="24"/>
  <c r="K11" i="24"/>
  <c r="BP13" i="27" l="1"/>
  <c r="P99" i="10"/>
  <c r="T99" i="10"/>
  <c r="R99" i="10" s="1"/>
  <c r="K27" i="24"/>
  <c r="K26" i="24"/>
  <c r="K30" i="24"/>
  <c r="K29" i="24"/>
  <c r="K28" i="24"/>
  <c r="K25" i="24"/>
  <c r="BP1" i="27" l="1"/>
  <c r="V99" i="10"/>
  <c r="U99" i="10" s="1"/>
  <c r="BP7" i="27"/>
  <c r="BP17" i="27" s="1"/>
  <c r="BP15" i="27"/>
  <c r="BP16" i="27" s="1"/>
  <c r="R96" i="10"/>
  <c r="V96" i="10" s="1"/>
  <c r="U96"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40F2D9-A240-4231-BA9B-FB842D0270D5}" keepAlive="1" name="Consulta - Table001 (Page 1)" description="Conexão com a consulta 'Table001 (Page 1)' na pasta de trabalho." type="5" refreshedVersion="8" background="1" saveData="1">
    <dbPr connection="Provider=Microsoft.Mashup.OleDb.1;Data Source=$Workbook$;Location=&quot;Table001 (Page 1)&quot;;Extended Properties=&quot;&quot;" command="SELECT * FROM [Table001 (Page 1)]"/>
  </connection>
  <connection id="2" xr16:uid="{809A7A97-09EB-4D82-8788-AE13D5E02AD7}" keepAlive="1" name="Consulta - Table002 (Page 2)" description="Conexão com a consulta 'Table002 (Page 2)' na pasta de trabalho." type="5" refreshedVersion="0" background="1">
    <dbPr connection="Provider=Microsoft.Mashup.OleDb.1;Data Source=$Workbook$;Location=&quot;Table002 (Page 2)&quot;;Extended Properties=&quot;&quot;" command="SELECT * FROM [Table002 (Page 2)]"/>
  </connection>
</connections>
</file>

<file path=xl/sharedStrings.xml><?xml version="1.0" encoding="utf-8"?>
<sst xmlns="http://schemas.openxmlformats.org/spreadsheetml/2006/main" count="1784" uniqueCount="293">
  <si>
    <t>Produto</t>
  </si>
  <si>
    <t>Valor Embalagens</t>
  </si>
  <si>
    <t>Taxa de Cartão (3X s/ juros)</t>
  </si>
  <si>
    <t xml:space="preserve">Custos Variaveis </t>
  </si>
  <si>
    <t>Rótulos de Linha</t>
  </si>
  <si>
    <t>(vazio)</t>
  </si>
  <si>
    <t>Soma de Valor Total Produção</t>
  </si>
  <si>
    <t>Nome</t>
  </si>
  <si>
    <t xml:space="preserve">Produto </t>
  </si>
  <si>
    <t>STATUS</t>
  </si>
  <si>
    <t>Valor Recebido.</t>
  </si>
  <si>
    <t>Valor Recebido</t>
  </si>
  <si>
    <t>Vendas</t>
  </si>
  <si>
    <t>Caixa</t>
  </si>
  <si>
    <t xml:space="preserve">Valor a Receber </t>
  </si>
  <si>
    <t>Valor Venda</t>
  </si>
  <si>
    <t>(Vários itens)</t>
  </si>
  <si>
    <t>Valor de Produção</t>
  </si>
  <si>
    <t>Despesas</t>
  </si>
  <si>
    <t>Despesas Total</t>
  </si>
  <si>
    <t>Leite condensado</t>
  </si>
  <si>
    <t>ingredientes</t>
  </si>
  <si>
    <t>Valor Ingredientes</t>
  </si>
  <si>
    <t>Quantidades (Gramas)</t>
  </si>
  <si>
    <t>Quantidades usadas (Gramas)</t>
  </si>
  <si>
    <t>Categoria</t>
  </si>
  <si>
    <t>BRIGADEIRO NESCAU</t>
  </si>
  <si>
    <t>BRIGADEIRO COCO</t>
  </si>
  <si>
    <t>Valor Unitario Ingredientes</t>
  </si>
  <si>
    <t>Valor Confeitos</t>
  </si>
  <si>
    <t>Creme de leite</t>
  </si>
  <si>
    <t>Valor Unitario Ingredientes usados</t>
  </si>
  <si>
    <t>Leite em pó</t>
  </si>
  <si>
    <t>Nescau</t>
  </si>
  <si>
    <t>Valor Total Ingredientes</t>
  </si>
  <si>
    <t>Rendimento da Massa (gramas)</t>
  </si>
  <si>
    <t>Valor Total Produção</t>
  </si>
  <si>
    <t>Lucro Unitario</t>
  </si>
  <si>
    <t>Lucro Total</t>
  </si>
  <si>
    <t>Soma de Valor Venda</t>
  </si>
  <si>
    <t>Soma de Lucro Total</t>
  </si>
  <si>
    <t>ESPECIAIS</t>
  </si>
  <si>
    <t>BRIGADEIRO PAÇOCA</t>
  </si>
  <si>
    <t>Paçoca</t>
  </si>
  <si>
    <t>TRADICIONAIS</t>
  </si>
  <si>
    <t>Coco</t>
  </si>
  <si>
    <t>Cacau</t>
  </si>
  <si>
    <t>BRIGADEIRO CHURRUS</t>
  </si>
  <si>
    <t>BRIGADEIRO NESQUIK</t>
  </si>
  <si>
    <t>NESQUIK</t>
  </si>
  <si>
    <t>Quantidade</t>
  </si>
  <si>
    <t>PAGO</t>
  </si>
  <si>
    <t>A RECEBER</t>
  </si>
  <si>
    <t>Custo Unitario</t>
  </si>
  <si>
    <t>Valor da Venda</t>
  </si>
  <si>
    <t>Valor Unitario Venda</t>
  </si>
  <si>
    <t>Custo Total da Venda</t>
  </si>
  <si>
    <t>SORTIDOS</t>
  </si>
  <si>
    <t>DESPESAS</t>
  </si>
  <si>
    <t>VALOR A RECEBER + CAIXA</t>
  </si>
  <si>
    <t>Soma de Valor da Venda</t>
  </si>
  <si>
    <t>Soma de Quantidade</t>
  </si>
  <si>
    <t>Doce de leite</t>
  </si>
  <si>
    <t>CAIXA 12 Un.</t>
  </si>
  <si>
    <t>CAIXA 100 Un.</t>
  </si>
  <si>
    <t>Rendimento Brigadeiros ( 15 gramas)</t>
  </si>
  <si>
    <t>Nutela</t>
  </si>
  <si>
    <t>Pitanga</t>
  </si>
  <si>
    <t>Cobertura</t>
  </si>
  <si>
    <t>Raspa de chocolate</t>
  </si>
  <si>
    <t>Paçoca moida</t>
  </si>
  <si>
    <t>Granulado / M&amp;M</t>
  </si>
  <si>
    <t>Açucar cristal</t>
  </si>
  <si>
    <t>Açucar colorido</t>
  </si>
  <si>
    <t>Selecionar Brigadeiro</t>
  </si>
  <si>
    <t>BRIGADEIRO LEITE NINHO</t>
  </si>
  <si>
    <t>BRIGADEIRO AMARGO 70%</t>
  </si>
  <si>
    <t>CAIXA 8 Un.</t>
  </si>
  <si>
    <t>MODO DE PREPARO</t>
  </si>
  <si>
    <t>1º Em uma panela, adicione o leite condensado, o creme de leite e o leite em pó (50 g). e misture bem antes de levar ao fogo, garantindo que os ingredientes estejam bem incorporados.
2º Leve a panela ao fogo médio e mexa constantemente com uma espátula para evitar que grude no fundo.
Cozinhe até atingir o ponto de brigadeiro, ou seja, quando a mistura começar a desgrudar do fundo da panela. Isso geralmente leva de 8 a 10 minutos.
3º Transfira o brigadeiro para um prato e deixe esfriar completamente em temperatura ambiente.
5º Após esfriar, unte as mãos com manteiga e modele o brigadeiro em bolinhas pequenas.
6º Passe as bolinhas de brigadeiro no leite em pó até que fiquem completamente cobertas.
7º Coloque Nutella em um saco de confeitar com bico pitanga e decore cada brigadeiro com uma pequena pitanga de Nutella no topo para finalizar.</t>
  </si>
  <si>
    <t>1º Em uma panela, adicione o leite condensado, o creme de leite e o Nescau e misture bem antes de levar ao fogo, garantindo que os ingredientes estejam bem incorporados.
2º Leve a panela ao fogo médio e mexa constantemente com uma espátula para evitar que grude no fundo.
Cozinhe até atingir o ponto de brigadeiro, ou seja, quando a mistura começar a desgrudar do fundo da panela. Isso geralmente leva de 8 a 10 minutos.
3º Transfira o brigadeiro para um prato e deixe esfriar completamente em temperatura ambiente.
4º Após esfriar, unte as mãos com manteiga e modele o brigadeiro em bolinhas pequenas.
5º Passe as bolinhas no granulado ou decore com M&amp;Ms até que fiquem completamente cobertas.</t>
  </si>
  <si>
    <t>1º Em uma panela, adicione o leite condensado, o creme de leite e a paçoca esfarelada e misture bem antes de levar ao fogo, garantindo que os ingredientes estejam bem incorporados.
2º Leve a panela ao fogo médio e mexa constantemente com uma espátula para evitar que grude no fundo.
Cozinhe até atingir o ponto de brigadeiro, ou seja, quando a mistura começar a desgrudar do fundo da panela. Isso geralmente leva de 8 a 10 minutos.
3º Transfira o brigadeiro para um prato e deixe esfriar completamente em temperatura ambiente.
4º Após esfriar, unte as mãos com manteiga e modele o brigadeiro em bolinhas pequenas.
5º Passe as bolinhas na paçoca moída, garantindo que fiquem bem cobertas até que fiquem completamente cobertas.</t>
  </si>
  <si>
    <t>1º Em uma panela, coloque o leite condensado, o creme de leite e o coco ralado (50 g). e misture bem antes de levar ao fogo, garantindo que os ingredientes estejam bem incorporados.
2º Leve a panela ao fogo médio e mexa constantemente com uma espátula para evitar que grude no fundo.
Cozinhe até atingir o ponto de brigadeiro, ou seja, quando a mistura começar a desgrudar do fundo da panela. Isso geralmente leva de 8 a 10 minutos.
3º Transfira o brigadeiro para um prato e deixe esfriar completamente em temperatura ambiente.
4º Após esfriar, unte as mãos com manteiga e modele o brigadeiro em bolinhas pequenas.
5º Passe as bolinhas no coco ralado para cobri-las completamente garantindo que fiquem completamente cobertas.</t>
  </si>
  <si>
    <t>1º Em uma panela, adicione o leite condensado, o creme de leite e o cacau em pó e misture bem antes de levar ao fogo, garantindo que os ingredientes estejam bem incorporados.
2º Leve a panela ao fogo médio e mexa constantemente com uma espátula para evitar que grude no fundo.
Cozinhe até atingir o ponto de brigadeiro, ou seja, quando a mistura começar a desgrudar do fundo da panela. Isso geralmente leva de 8 a 10 minutos.
3º Transfira o brigadeiro para um prato e deixe esfriar completamente em temperatura ambiente.
4º Após esfriar, unte as mãos com manteiga e modele o brigadeiro em bolinhas pequenas.
5º Passe as bolinhas nas raspas de chocolate para cobri-las completamente garantindo que fiquem completamente cobertas.</t>
  </si>
  <si>
    <t>1º Em uma panela, coloque o leite condensado, o creme de leite e o doce de leite (80 g). e misture bem antes de levar ao fogo, garantindo que os ingredientes estejam bem incorporados.
2º Leve a panela ao fogo médio e mexa constantemente com uma espátula para evitar que grude no fundo.
Cozinhe até atingir o ponto de brigadeiro, ou seja, quando a mistura começar a desgrudar do fundo da panela. Isso geralmente leva de 8 a 10 minutos.
3º Transfira o brigadeiro para um prato e deixe esfriar completamente em temperatura ambiente.
4º Após esfriar, unte as mãos com manteiga e modele o brigadeiro em bolinhas pequenas.
5º Passe as bolinhas nas raspas de chocolate para cobri-las completamente garantindo que fiquem completamente cobertas.
6º Passe as bolinhas de brigadeiro no açúcar cristal  até que fiquem completamente cobertas.
7º Coloque Nutella em um saco de confeitar com bico pitanga e decore cada brigadeiro com uma pequena pitanga de doce de leite no topo para finalizar.</t>
  </si>
  <si>
    <t>1º Em uma panela, coloque o leite condensado, o creme de leite e o NESQUIK e misture bem antes de levar ao fogo, garantindo que os ingredientes estejam bem incorporados.
2º Leve a panela ao fogo médio e mexa constantemente com uma espátula para evitar que grude no fundo.
Cozinhe até atingir o ponto de brigadeiro, ou seja, quando a mistura começar a desgrudar do fundo da panela. Isso geralmente leva de 8 a 10 minutos.
3º Transfira o brigadeiro para um prato e deixe esfriar completamente em temperatura ambiente.
4º Após esfriar, unte as mãos com manteiga e modele o brigadeiro em bolinhas pequenas.
5º Passe as bolinhas no açúcar colorido para cobri-las completamente garantindo que fiquem completamente cobertas.</t>
  </si>
  <si>
    <t>CAIXA 30 Un.</t>
  </si>
  <si>
    <t>BRIGADEIRO LEITE NINHO C/ NUTELLA</t>
  </si>
  <si>
    <t>NUTELLA</t>
  </si>
  <si>
    <t>Rendimento Brigadeiros
( 18 gramas)</t>
  </si>
  <si>
    <t>Soma de Rendimento Brigadeiros</t>
  </si>
  <si>
    <t>PRODUTOS</t>
  </si>
  <si>
    <t>Data</t>
  </si>
  <si>
    <t>Andreia</t>
  </si>
  <si>
    <t>Marcia</t>
  </si>
  <si>
    <t>Kaue</t>
  </si>
  <si>
    <t>Deisiane</t>
  </si>
  <si>
    <t>Noca</t>
  </si>
  <si>
    <t>Dani</t>
  </si>
  <si>
    <t>Paloma</t>
  </si>
  <si>
    <t>Joira</t>
  </si>
  <si>
    <t>BRIGADEIRO CHURROS</t>
  </si>
  <si>
    <t>Valor Total Unitario dos brigadeiros</t>
  </si>
  <si>
    <t>Margem</t>
  </si>
  <si>
    <t>Margem lucro real</t>
  </si>
  <si>
    <t>Soma de Margem lucro real</t>
  </si>
  <si>
    <t>Vivian</t>
  </si>
  <si>
    <t>Zoca (Flavia)</t>
  </si>
  <si>
    <t>Vitoria</t>
  </si>
  <si>
    <t>Fabiola</t>
  </si>
  <si>
    <t>Rendimento Brigadeiros ( 18 gramas)</t>
  </si>
  <si>
    <t>Dilma</t>
  </si>
  <si>
    <t>Juliana</t>
  </si>
  <si>
    <t>Gilmara</t>
  </si>
  <si>
    <t>PERCENTUAL DE LUCRO</t>
  </si>
  <si>
    <t>LUCRO TOTAL</t>
  </si>
  <si>
    <t>Dari</t>
  </si>
  <si>
    <t>Cassia</t>
  </si>
  <si>
    <t>Soma de Valor Recebido.</t>
  </si>
  <si>
    <t>Falta receber</t>
  </si>
  <si>
    <t>Soma de Custo Unitario</t>
  </si>
  <si>
    <t>BRIGADEIRO BEIJINHO (Coco)</t>
  </si>
  <si>
    <t>BRIGADEIRO AO LEITE 50%</t>
  </si>
  <si>
    <t>BRIGADEIRO CASADINHO</t>
  </si>
  <si>
    <t>BRIGADEIRO CHOCOLATE C/ MORANGO</t>
  </si>
  <si>
    <t>BRIGADEIRO CHOCOBOL</t>
  </si>
  <si>
    <t>BRIGADEIRO CAJUZINHO</t>
  </si>
  <si>
    <t>BRIGADEIRO PRESTIGIO</t>
  </si>
  <si>
    <t>BRIGADEIRO MEIO AMARGO</t>
  </si>
  <si>
    <t>BRIGADEIRO CAFÉ</t>
  </si>
  <si>
    <t>BRIGADEIRO M&amp;M</t>
  </si>
  <si>
    <t>BRIGADEIRO NAPOLITANO</t>
  </si>
  <si>
    <t>BRIGADEIRO ROMEU E JULIETA</t>
  </si>
  <si>
    <t>BRIGADEIRO COCO QUEIMADO</t>
  </si>
  <si>
    <t>BRIGADEIRO DE FERRERO</t>
  </si>
  <si>
    <t>BRIGADEIRO FLORESTA NEGRA</t>
  </si>
  <si>
    <t>BRIGADEIRO CARAMELO</t>
  </si>
  <si>
    <t>Cacau 70%</t>
  </si>
  <si>
    <t>Café</t>
  </si>
  <si>
    <t>Cacau 50%</t>
  </si>
  <si>
    <t>Amendoim torrado</t>
  </si>
  <si>
    <t>Açucar</t>
  </si>
  <si>
    <t>Queijo parmesão</t>
  </si>
  <si>
    <t>Goiabada</t>
  </si>
  <si>
    <t>Cereja</t>
  </si>
  <si>
    <t>Coco queimado</t>
  </si>
  <si>
    <t>Massa de beijinho</t>
  </si>
  <si>
    <t>Soma de Valor Total Unitario dos brigadeiros</t>
  </si>
  <si>
    <t xml:space="preserve">
</t>
  </si>
  <si>
    <t>LUCRO</t>
  </si>
  <si>
    <t>Choc granule (padre)</t>
  </si>
  <si>
    <t>CHOCOBOL</t>
  </si>
  <si>
    <t>Granulado</t>
  </si>
  <si>
    <t>M&amp;M</t>
  </si>
  <si>
    <t>Coco ralado</t>
  </si>
  <si>
    <t>Descrição</t>
  </si>
  <si>
    <t>ID da operação</t>
  </si>
  <si>
    <t>Valor</t>
  </si>
  <si>
    <t>Rendimentos</t>
  </si>
  <si>
    <t>Pagamento Cartão de crédito</t>
  </si>
  <si>
    <t>Transferência Pix recebida Paulo
Roberto Talamini</t>
  </si>
  <si>
    <t>Transferência Pix recebida Cassiane
Araujo de Lima</t>
  </si>
  <si>
    <t>Transferência Pix recebida FABIOLA
TERIBELE QUADROS</t>
  </si>
  <si>
    <t>Pagamento Supermercado peg pag</t>
  </si>
  <si>
    <t>Transferência Pix recebida JULIANA
GONCALVES FERNANDES</t>
  </si>
  <si>
    <t>Transferência Pix recebida Mauricio De
Oliveira Borba</t>
  </si>
  <si>
    <t>Transferência Pix recebida OSEIAS
GONCALVES BUENO</t>
  </si>
  <si>
    <t>Transferência Pix recebida VIVIAM
LUIZA TOMBINI</t>
  </si>
  <si>
    <t>PIX</t>
  </si>
  <si>
    <t>DEBITO</t>
  </si>
  <si>
    <t>Pagamento MANO A MANO EMBALAGENS</t>
  </si>
  <si>
    <t>Transferência Pix recebida RENATA DA ROSA</t>
  </si>
  <si>
    <t>Transferência Pix recebida ODETE DE ARRUDA</t>
  </si>
  <si>
    <t>CREDITO</t>
  </si>
  <si>
    <t>Recebimento em dinheiro</t>
  </si>
  <si>
    <t>Dinheiro</t>
  </si>
  <si>
    <t>CONTA</t>
  </si>
  <si>
    <t>Mercado Pago</t>
  </si>
  <si>
    <t>Envelope</t>
  </si>
  <si>
    <t>Soma de Valor</t>
  </si>
  <si>
    <t>Renata</t>
  </si>
  <si>
    <t>Odete</t>
  </si>
  <si>
    <t>Saldo que tinha</t>
  </si>
  <si>
    <t>Juliana (cassi)</t>
  </si>
  <si>
    <t>Gabriela</t>
  </si>
  <si>
    <t>Transferência Pix enviada Cassiane Araujo de Lima</t>
  </si>
  <si>
    <t>Pagamento PONTO DO CONFEITEIRO</t>
  </si>
  <si>
    <t>Ivone</t>
  </si>
  <si>
    <t>Aline</t>
  </si>
  <si>
    <t>Carol</t>
  </si>
  <si>
    <t>Vania</t>
  </si>
  <si>
    <t>Gisa</t>
  </si>
  <si>
    <t>Rosangela</t>
  </si>
  <si>
    <t>Luana</t>
  </si>
  <si>
    <t>TAXA DE ENTREGA</t>
  </si>
  <si>
    <t>Transferência Pix recebida Gisa</t>
  </si>
  <si>
    <t>Transferência Pix recebida Carolina</t>
  </si>
  <si>
    <t>Transferência Pix recebida Ivone</t>
  </si>
  <si>
    <t>Transferência Pix recebida Rosangela</t>
  </si>
  <si>
    <t>Transferência Pix recebida Luana</t>
  </si>
  <si>
    <t>Transferência Pix recebida Jailson (aline)</t>
  </si>
  <si>
    <t>Patricia</t>
  </si>
  <si>
    <t>Transferência Pix recebida Patricia alves</t>
  </si>
  <si>
    <t>Transferência Pix recebida V.R BRIZOLA</t>
  </si>
  <si>
    <t>Transferência Pix enviada ROSANGELA</t>
  </si>
  <si>
    <t>SEMANA 01</t>
  </si>
  <si>
    <t>SEMANA 02</t>
  </si>
  <si>
    <t>SEMANA 03</t>
  </si>
  <si>
    <t>SEMANA 04</t>
  </si>
  <si>
    <t>SEMANA 05</t>
  </si>
  <si>
    <t>SEMANA 06</t>
  </si>
  <si>
    <t>Un.</t>
  </si>
  <si>
    <t>PRODUÇÃO</t>
  </si>
  <si>
    <t>TOTAL BRIGADEIROS</t>
  </si>
  <si>
    <t>BANDEIJAS PARA VENDA</t>
  </si>
  <si>
    <t>ESTIMATIVA DE VENDA</t>
  </si>
  <si>
    <t>Mês</t>
  </si>
  <si>
    <t>janeiro</t>
  </si>
  <si>
    <t>fevereiro</t>
  </si>
  <si>
    <t>março</t>
  </si>
  <si>
    <t>Gramas</t>
  </si>
  <si>
    <t>Mulher</t>
  </si>
  <si>
    <t>Lgferrari</t>
  </si>
  <si>
    <t>Cheila</t>
  </si>
  <si>
    <t>Homem</t>
  </si>
  <si>
    <t>Mulher dos Cilios</t>
  </si>
  <si>
    <t>Transferência Pix recebida Marcia</t>
  </si>
  <si>
    <t>Transferência Venda cartão recebida Mulher</t>
  </si>
  <si>
    <t>Transferência Pix recebida Cassiane Araujo de Lima</t>
  </si>
  <si>
    <t>Transferência Pix enviada FERNANDO</t>
  </si>
  <si>
    <t>Transferência Pix recebida Cassia</t>
  </si>
  <si>
    <t>Pagamento Cotrisal</t>
  </si>
  <si>
    <t>Pagamento Cruz azul</t>
  </si>
  <si>
    <t>Pagamento Tarecama</t>
  </si>
  <si>
    <t>Retirada de dinheiro</t>
  </si>
  <si>
    <t>DEBITO Din.</t>
  </si>
  <si>
    <t>Sandra</t>
  </si>
  <si>
    <t>Pagamento Posto da baixada</t>
  </si>
  <si>
    <t>Pagamento Mercado tche</t>
  </si>
  <si>
    <t>Transferência Pix enviada JARDEL</t>
  </si>
  <si>
    <t>Pagamento Gelas sorvetes</t>
  </si>
  <si>
    <t>Transferência Pix recebida Maria Patricia</t>
  </si>
  <si>
    <t>Vitor e Elo</t>
  </si>
  <si>
    <t>Greice</t>
  </si>
  <si>
    <t>Eliane</t>
  </si>
  <si>
    <t>Marisa</t>
  </si>
  <si>
    <t>Transferência Pix recebida Greice</t>
  </si>
  <si>
    <t>Pagamento Emporio supermercado</t>
  </si>
  <si>
    <t>abril</t>
  </si>
  <si>
    <t>Transferência Pix recebida Cassiane</t>
  </si>
  <si>
    <t>Luane</t>
  </si>
  <si>
    <t>Karina</t>
  </si>
  <si>
    <t>Transferência Pix recebida Karina</t>
  </si>
  <si>
    <t>Transferência Pix recebida Paloma</t>
  </si>
  <si>
    <t>Transferência Pix recebida Renata da rosa</t>
  </si>
  <si>
    <t>Transferência Pix recebida Luane</t>
  </si>
  <si>
    <t>CAIXA 9 Un.</t>
  </si>
  <si>
    <t>CAIXA 16 Un.</t>
  </si>
  <si>
    <t>CAIXA 160 Un.</t>
  </si>
  <si>
    <t>CAIXA 140 Un.</t>
  </si>
  <si>
    <t>Franciele</t>
  </si>
  <si>
    <t>KIT OVO DE PASCOA</t>
  </si>
  <si>
    <t>Dieni</t>
  </si>
  <si>
    <t>CAIXA 24 Un.</t>
  </si>
  <si>
    <t>Liara</t>
  </si>
  <si>
    <t>Transferência Pix recebida Paulo Roberto Talamini</t>
  </si>
  <si>
    <t>Transferência Pix recebida FABIOLA TERIBELE QUADROS</t>
  </si>
  <si>
    <t>Taxas</t>
  </si>
  <si>
    <t>Pagamento Hiper</t>
  </si>
  <si>
    <t>Pagamento Tche</t>
  </si>
  <si>
    <t>Pagamento Ponto Doce</t>
  </si>
  <si>
    <t>Pagamento Emporio Anajoana</t>
  </si>
  <si>
    <t>Pagamento Silva Atacarejo</t>
  </si>
  <si>
    <t>Pagamento São João</t>
  </si>
  <si>
    <t>Pagamento La chapa</t>
  </si>
  <si>
    <t>Pagamento Batisti</t>
  </si>
  <si>
    <t>Pagamento Mercado Livre 1ª</t>
  </si>
  <si>
    <t>Pagamento Cacau Show 1ª</t>
  </si>
  <si>
    <t>Pagamento Mercado Livre 2ª</t>
  </si>
  <si>
    <t>Pagamento Cacau Show 2ª</t>
  </si>
  <si>
    <t>Rosimar</t>
  </si>
  <si>
    <t>Desconhecida</t>
  </si>
  <si>
    <t>Transferência Pix recebida Rosimar</t>
  </si>
  <si>
    <t>Pagamento Pastelaria</t>
  </si>
  <si>
    <t>Transferência Pix recebida Juliana Lima</t>
  </si>
  <si>
    <t>Pagamento Unipeças</t>
  </si>
  <si>
    <t>maio</t>
  </si>
  <si>
    <t>Pagamento Gas</t>
  </si>
  <si>
    <t>Pagamento Cinaleira gol</t>
  </si>
  <si>
    <t>Pagamento Coleira cadela</t>
  </si>
  <si>
    <t>Pagamento panvel 1ª</t>
  </si>
  <si>
    <t>Pagamento panvel 2ª</t>
  </si>
  <si>
    <t>Pagamento panvel 3ª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</si>
</sst>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R$&quot;\ * #,##0.00_-;\-&quot;R$&quot;\ * #,##0.00_-;_-&quot;R$&quot;\ * &quot;-&quot;??_-;_-@_-"/>
    <numFmt numFmtId="164" formatCode="_(&quot;R$&quot;* #,##0.00_);_(&quot;R$&quot;* \(#,##0.00\);_(&quot;R$&quot;* &quot;-&quot;??_);_(@_)"/>
    <numFmt numFmtId="165" formatCode="&quot;R$&quot;\ #,##0.00"/>
    <numFmt numFmtId="166" formatCode="_-&quot;R$&quot;\ * #,##0.00_-;\-&quot;R$&quot;\ * #,##0.00_-;_-&quot;R$&quot;\ * &quot;-&quot;??_-;_-@"/>
    <numFmt numFmtId="167" formatCode="0.0"/>
  </numFmts>
  <fonts count="30" x14ac:knownFonts="1">
    <font>
      <sz val="11"/>
      <color theme="1"/>
      <name val="Calibri"/>
      <family val="2"/>
      <scheme val="minor"/>
    </font>
    <font>
      <sz val="11"/>
      <color theme="1"/>
      <name val="Calibri"/>
      <family val="2"/>
      <scheme val="minor"/>
    </font>
    <font>
      <b/>
      <sz val="12"/>
      <color theme="0"/>
      <name val="Calibri"/>
      <family val="2"/>
      <scheme val="minor"/>
    </font>
    <font>
      <b/>
      <sz val="11"/>
      <color theme="1"/>
      <name val="Calibri"/>
      <family val="2"/>
      <scheme val="minor"/>
    </font>
    <font>
      <sz val="8"/>
      <name val="Calibri"/>
      <family val="2"/>
      <scheme val="minor"/>
    </font>
    <font>
      <b/>
      <sz val="12"/>
      <color rgb="FFFFFF00"/>
      <name val="Calibri"/>
      <family val="2"/>
      <scheme val="minor"/>
    </font>
    <font>
      <sz val="11"/>
      <name val="Calibri"/>
      <family val="2"/>
      <scheme val="minor"/>
    </font>
    <font>
      <sz val="11"/>
      <color theme="0"/>
      <name val="Calibri"/>
      <family val="2"/>
      <scheme val="minor"/>
    </font>
    <font>
      <sz val="10"/>
      <color rgb="FF000000"/>
      <name val="Calibri"/>
      <family val="2"/>
      <scheme val="minor"/>
    </font>
    <font>
      <b/>
      <sz val="14"/>
      <color rgb="FF6FA8DC"/>
      <name val="Arial"/>
      <family val="2"/>
    </font>
    <font>
      <sz val="10"/>
      <color rgb="FF6FA8DC"/>
      <name val="Arial"/>
      <family val="2"/>
    </font>
    <font>
      <b/>
      <sz val="10"/>
      <color rgb="FF6FA8DC"/>
      <name val="Arial"/>
      <family val="2"/>
    </font>
    <font>
      <b/>
      <sz val="10"/>
      <color rgb="FF0C5ADB"/>
      <name val="Arial"/>
      <family val="2"/>
    </font>
    <font>
      <b/>
      <sz val="10"/>
      <color rgb="FF0070C0"/>
      <name val="Arial"/>
      <family val="2"/>
    </font>
    <font>
      <sz val="10"/>
      <color theme="0"/>
      <name val="Arial"/>
      <family val="2"/>
    </font>
    <font>
      <b/>
      <sz val="12"/>
      <color theme="1"/>
      <name val="Calibri"/>
      <family val="2"/>
      <scheme val="minor"/>
    </font>
    <font>
      <b/>
      <sz val="12"/>
      <color rgb="FF6FA8DC"/>
      <name val="Calibri"/>
      <family val="2"/>
      <scheme val="minor"/>
    </font>
    <font>
      <b/>
      <sz val="11"/>
      <name val="Calibri"/>
      <family val="2"/>
      <scheme val="minor"/>
    </font>
    <font>
      <sz val="10"/>
      <color theme="0"/>
      <name val="Calibri"/>
      <family val="2"/>
      <scheme val="minor"/>
    </font>
    <font>
      <b/>
      <sz val="12"/>
      <name val="Calibri"/>
      <family val="2"/>
      <scheme val="minor"/>
    </font>
    <font>
      <sz val="12"/>
      <name val="Calibri"/>
      <family val="2"/>
      <scheme val="minor"/>
    </font>
    <font>
      <sz val="10"/>
      <name val="Arial"/>
      <family val="2"/>
    </font>
    <font>
      <sz val="10"/>
      <name val="Calibri"/>
      <family val="2"/>
      <scheme val="minor"/>
    </font>
    <font>
      <b/>
      <sz val="14"/>
      <name val="Arial"/>
      <family val="2"/>
    </font>
    <font>
      <sz val="10"/>
      <color theme="0"/>
      <name val="Arial"/>
    </font>
    <font>
      <sz val="11"/>
      <color rgb="FFFF0000"/>
      <name val="Calibri"/>
      <family val="2"/>
      <scheme val="minor"/>
    </font>
    <font>
      <b/>
      <sz val="11"/>
      <color theme="0"/>
      <name val="Calibri"/>
      <family val="2"/>
      <scheme val="minor"/>
    </font>
    <font>
      <b/>
      <sz val="14"/>
      <color theme="0"/>
      <name val="Calibri"/>
      <family val="2"/>
      <scheme val="minor"/>
    </font>
    <font>
      <b/>
      <sz val="16"/>
      <color theme="0"/>
      <name val="Calibri"/>
      <family val="2"/>
      <scheme val="minor"/>
    </font>
    <font>
      <sz val="12"/>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5" tint="-0.499984740745262"/>
        <bgColor rgb="FFFF0000"/>
      </patternFill>
    </fill>
    <fill>
      <patternFill patternType="solid">
        <fgColor theme="0"/>
        <bgColor indexed="64"/>
      </patternFill>
    </fill>
    <fill>
      <patternFill patternType="solid">
        <fgColor theme="1" tint="0.149998474074526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top style="thin">
        <color theme="0"/>
      </top>
      <bottom/>
      <diagonal/>
    </border>
    <border>
      <left style="thin">
        <color theme="4"/>
      </left>
      <right style="thin">
        <color theme="4"/>
      </right>
      <top style="thin">
        <color theme="4"/>
      </top>
      <bottom style="thin">
        <color theme="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4"/>
      </right>
      <top style="thin">
        <color theme="4"/>
      </top>
      <bottom style="thin">
        <color theme="4"/>
      </bottom>
      <diagonal/>
    </border>
    <border>
      <left style="thin">
        <color theme="4"/>
      </left>
      <right/>
      <top style="thin">
        <color theme="4"/>
      </top>
      <bottom style="thin">
        <color theme="4"/>
      </bottom>
      <diagonal/>
    </border>
    <border>
      <left/>
      <right style="thin">
        <color theme="4"/>
      </right>
      <top/>
      <bottom style="thin">
        <color theme="4"/>
      </bottom>
      <diagonal/>
    </border>
    <border>
      <left style="thin">
        <color theme="4"/>
      </left>
      <right style="thin">
        <color theme="4"/>
      </right>
      <top/>
      <bottom style="thin">
        <color theme="4"/>
      </bottom>
      <diagonal/>
    </border>
    <border>
      <left style="thin">
        <color theme="4"/>
      </left>
      <right/>
      <top/>
      <bottom style="thin">
        <color theme="4"/>
      </bottom>
      <diagonal/>
    </border>
    <border>
      <left/>
      <right style="thin">
        <color theme="4"/>
      </right>
      <top style="thin">
        <color theme="4"/>
      </top>
      <bottom/>
      <diagonal/>
    </border>
    <border>
      <left style="thin">
        <color theme="4"/>
      </left>
      <right style="thin">
        <color theme="4"/>
      </right>
      <top style="thin">
        <color theme="4"/>
      </top>
      <bottom/>
      <diagonal/>
    </border>
    <border>
      <left style="thin">
        <color theme="4"/>
      </left>
      <right/>
      <top style="thin">
        <color theme="4"/>
      </top>
      <bottom/>
      <diagonal/>
    </border>
    <border>
      <left style="thick">
        <color theme="0"/>
      </left>
      <right/>
      <top/>
      <bottom/>
      <diagonal/>
    </border>
    <border>
      <left/>
      <right/>
      <top/>
      <bottom style="thin">
        <color theme="4" tint="0.39997558519241921"/>
      </bottom>
      <diagonal/>
    </border>
    <border>
      <left style="thin">
        <color theme="9" tint="0.39997558519241921"/>
      </left>
      <right/>
      <top/>
      <bottom/>
      <diagonal/>
    </border>
    <border>
      <left/>
      <right style="thin">
        <color theme="9" tint="0.39997558519241921"/>
      </right>
      <top/>
      <bottom/>
      <diagonal/>
    </border>
    <border>
      <left/>
      <right/>
      <top style="thin">
        <color theme="0"/>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theme="0"/>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style="medium">
        <color indexed="64"/>
      </right>
      <top style="thin">
        <color indexed="64"/>
      </top>
      <bottom style="thin">
        <color indexed="64"/>
      </bottom>
      <diagonal/>
    </border>
    <border>
      <left style="thin">
        <color theme="0"/>
      </left>
      <right style="medium">
        <color indexed="64"/>
      </right>
      <top style="thin">
        <color indexed="64"/>
      </top>
      <bottom/>
      <diagonal/>
    </border>
    <border>
      <left/>
      <right/>
      <top style="thin">
        <color indexed="64"/>
      </top>
      <bottom/>
      <diagonal/>
    </border>
    <border>
      <left/>
      <right style="thin">
        <color theme="4"/>
      </right>
      <top/>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8" fillId="0" borderId="0"/>
  </cellStyleXfs>
  <cellXfs count="239">
    <xf numFmtId="0" fontId="0" fillId="0" borderId="0" xfId="0"/>
    <xf numFmtId="0" fontId="0" fillId="0" borderId="0" xfId="0" applyAlignment="1">
      <alignment horizontal="center"/>
    </xf>
    <xf numFmtId="0" fontId="0" fillId="0" borderId="0" xfId="0" applyAlignment="1">
      <alignment horizontal="center" wrapText="1"/>
    </xf>
    <xf numFmtId="9" fontId="0" fillId="0" borderId="0" xfId="2" applyFont="1" applyAlignment="1">
      <alignment horizontal="center"/>
    </xf>
    <xf numFmtId="44" fontId="0" fillId="0" borderId="0" xfId="0" applyNumberFormat="1" applyAlignment="1">
      <alignment horizontal="center" wrapText="1"/>
    </xf>
    <xf numFmtId="0" fontId="6" fillId="0" borderId="1" xfId="0" applyFont="1" applyBorder="1" applyAlignment="1">
      <alignment horizontal="center"/>
    </xf>
    <xf numFmtId="164" fontId="6" fillId="0" borderId="1" xfId="1" applyFont="1" applyFill="1" applyBorder="1" applyAlignment="1">
      <alignment horizontal="center" vertical="center" wrapText="1"/>
    </xf>
    <xf numFmtId="0" fontId="6" fillId="0" borderId="1" xfId="1" applyNumberFormat="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center" vertical="center"/>
    </xf>
    <xf numFmtId="0" fontId="2" fillId="3" borderId="3" xfId="0" applyFont="1" applyFill="1" applyBorder="1" applyAlignment="1">
      <alignment horizontal="center" vertical="center" wrapText="1"/>
    </xf>
    <xf numFmtId="164" fontId="2" fillId="3" borderId="3" xfId="1" applyFont="1"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164" fontId="5" fillId="3" borderId="3" xfId="1" applyFont="1" applyFill="1" applyBorder="1" applyAlignment="1">
      <alignment horizontal="center" vertical="center" wrapText="1"/>
    </xf>
    <xf numFmtId="0" fontId="2" fillId="4" borderId="9" xfId="3" applyFont="1" applyFill="1" applyBorder="1" applyAlignment="1">
      <alignment horizontal="center" vertical="center" wrapText="1"/>
    </xf>
    <xf numFmtId="0" fontId="2" fillId="4" borderId="10" xfId="3" applyFont="1" applyFill="1" applyBorder="1" applyAlignment="1">
      <alignment horizontal="center" vertical="center" wrapText="1"/>
    </xf>
    <xf numFmtId="164" fontId="2" fillId="4" borderId="10" xfId="1" applyFont="1" applyFill="1" applyBorder="1" applyAlignment="1">
      <alignment horizontal="center" vertical="center" wrapText="1"/>
    </xf>
    <xf numFmtId="0" fontId="2" fillId="4" borderId="11" xfId="3" applyFont="1" applyFill="1" applyBorder="1" applyAlignment="1">
      <alignment horizontal="center" vertical="center" wrapText="1"/>
    </xf>
    <xf numFmtId="0" fontId="6" fillId="0" borderId="1" xfId="0" applyFont="1" applyBorder="1" applyAlignment="1">
      <alignment horizontal="left"/>
    </xf>
    <xf numFmtId="0" fontId="0" fillId="0" borderId="1" xfId="0" applyBorder="1" applyAlignment="1">
      <alignment horizontal="left"/>
    </xf>
    <xf numFmtId="0" fontId="6" fillId="0" borderId="1" xfId="0" applyFont="1" applyBorder="1" applyAlignment="1">
      <alignment horizontal="center" vertical="center" wrapText="1"/>
    </xf>
    <xf numFmtId="0" fontId="7" fillId="0" borderId="0" xfId="0" applyFont="1"/>
    <xf numFmtId="0" fontId="6" fillId="0" borderId="1" xfId="0" applyFont="1" applyBorder="1" applyAlignment="1">
      <alignment horizontal="center" vertical="center"/>
    </xf>
    <xf numFmtId="0" fontId="6" fillId="0" borderId="0" xfId="0" applyFont="1" applyAlignment="1">
      <alignment vertical="center"/>
    </xf>
    <xf numFmtId="44" fontId="0" fillId="0" borderId="1" xfId="0" applyNumberFormat="1" applyBorder="1" applyAlignment="1">
      <alignment horizontal="center" vertical="center" wrapText="1"/>
    </xf>
    <xf numFmtId="0" fontId="3" fillId="2" borderId="1" xfId="0" applyFont="1" applyFill="1" applyBorder="1" applyAlignment="1">
      <alignment horizontal="center" vertical="center" wrapText="1"/>
    </xf>
    <xf numFmtId="10" fontId="0" fillId="0" borderId="1" xfId="2" applyNumberFormat="1" applyFont="1" applyBorder="1" applyAlignment="1">
      <alignment horizontal="center" vertical="center" wrapText="1"/>
    </xf>
    <xf numFmtId="44" fontId="3" fillId="2" borderId="1" xfId="0" applyNumberFormat="1" applyFont="1" applyFill="1" applyBorder="1" applyAlignment="1">
      <alignment horizontal="center" vertical="center" wrapText="1"/>
    </xf>
    <xf numFmtId="9" fontId="0" fillId="0" borderId="1" xfId="2" applyFont="1" applyBorder="1" applyAlignment="1">
      <alignment horizontal="center" vertical="center" wrapText="1"/>
    </xf>
    <xf numFmtId="14" fontId="2" fillId="4" borderId="9" xfId="3" applyNumberFormat="1" applyFont="1" applyFill="1" applyBorder="1" applyAlignment="1">
      <alignment horizontal="center" vertical="center" wrapText="1"/>
    </xf>
    <xf numFmtId="14" fontId="14" fillId="0" borderId="7" xfId="3" applyNumberFormat="1" applyFont="1" applyBorder="1" applyAlignment="1">
      <alignment horizontal="center" vertical="center"/>
    </xf>
    <xf numFmtId="0" fontId="14" fillId="0" borderId="7" xfId="3" applyFont="1" applyBorder="1" applyAlignment="1">
      <alignment horizontal="center" vertical="center"/>
    </xf>
    <xf numFmtId="0" fontId="14" fillId="0" borderId="4" xfId="3" applyFont="1" applyBorder="1" applyAlignment="1">
      <alignment horizontal="center" vertical="center"/>
    </xf>
    <xf numFmtId="164" fontId="14" fillId="0" borderId="4" xfId="1" applyFont="1" applyFill="1" applyBorder="1" applyAlignment="1">
      <alignment horizontal="center" vertical="center"/>
    </xf>
    <xf numFmtId="0" fontId="14" fillId="0" borderId="8" xfId="3" applyFont="1" applyBorder="1" applyAlignment="1">
      <alignment horizontal="center" vertical="center"/>
    </xf>
    <xf numFmtId="0" fontId="18" fillId="0" borderId="0" xfId="3" applyFont="1" applyAlignment="1">
      <alignment horizontal="center"/>
    </xf>
    <xf numFmtId="0" fontId="14" fillId="0" borderId="0" xfId="3" applyFont="1" applyAlignment="1">
      <alignment horizontal="center" vertical="center"/>
    </xf>
    <xf numFmtId="0" fontId="14" fillId="0" borderId="12" xfId="3" applyFont="1" applyBorder="1" applyAlignment="1">
      <alignment horizontal="center" vertical="center"/>
    </xf>
    <xf numFmtId="0" fontId="14" fillId="0" borderId="13" xfId="3" applyFont="1" applyBorder="1" applyAlignment="1">
      <alignment horizontal="center" vertical="center"/>
    </xf>
    <xf numFmtId="164" fontId="14" fillId="0" borderId="13" xfId="1" applyFont="1" applyFill="1" applyBorder="1" applyAlignment="1">
      <alignment horizontal="center" vertical="center"/>
    </xf>
    <xf numFmtId="0" fontId="14" fillId="0" borderId="14" xfId="3" applyFont="1" applyBorder="1" applyAlignment="1">
      <alignment horizontal="center" vertical="center"/>
    </xf>
    <xf numFmtId="14" fontId="14" fillId="0" borderId="0" xfId="3" applyNumberFormat="1" applyFont="1" applyAlignment="1">
      <alignment horizontal="center" vertical="center"/>
    </xf>
    <xf numFmtId="164" fontId="18" fillId="0" borderId="0" xfId="1" applyFont="1" applyAlignment="1">
      <alignment horizontal="center"/>
    </xf>
    <xf numFmtId="164" fontId="14" fillId="0" borderId="0" xfId="1" applyFont="1" applyAlignment="1">
      <alignment horizontal="center" vertical="center"/>
    </xf>
    <xf numFmtId="14" fontId="18" fillId="0" borderId="0" xfId="3" applyNumberFormat="1" applyFont="1" applyAlignment="1">
      <alignment horizontal="center"/>
    </xf>
    <xf numFmtId="9" fontId="2" fillId="3" borderId="3" xfId="2" applyFont="1" applyFill="1" applyBorder="1" applyAlignment="1">
      <alignment horizontal="center" vertical="center" wrapText="1"/>
    </xf>
    <xf numFmtId="0" fontId="6" fillId="0" borderId="0" xfId="0" applyFont="1"/>
    <xf numFmtId="0" fontId="6" fillId="0" borderId="1" xfId="0" applyFont="1" applyBorder="1"/>
    <xf numFmtId="0" fontId="7" fillId="0" borderId="1" xfId="0" applyFont="1" applyBorder="1" applyAlignment="1">
      <alignment horizontal="center"/>
    </xf>
    <xf numFmtId="0" fontId="20" fillId="0" borderId="0" xfId="3" applyFont="1" applyAlignment="1">
      <alignment horizontal="center" wrapText="1"/>
    </xf>
    <xf numFmtId="0" fontId="19" fillId="0" borderId="0" xfId="3" applyFont="1" applyAlignment="1">
      <alignment horizontal="center" vertical="center" wrapText="1"/>
    </xf>
    <xf numFmtId="0" fontId="20" fillId="0" borderId="0" xfId="3" applyFont="1" applyAlignment="1">
      <alignment horizontal="center" vertical="center" wrapText="1"/>
    </xf>
    <xf numFmtId="0" fontId="22" fillId="0" borderId="0" xfId="3" applyFont="1" applyAlignment="1">
      <alignment horizontal="center"/>
    </xf>
    <xf numFmtId="0" fontId="23" fillId="0" borderId="0" xfId="3" applyFont="1" applyAlignment="1">
      <alignment horizontal="center" vertical="center"/>
    </xf>
    <xf numFmtId="0" fontId="21" fillId="0" borderId="0" xfId="3" applyFont="1" applyAlignment="1">
      <alignment horizontal="center" vertical="center"/>
    </xf>
    <xf numFmtId="164" fontId="0" fillId="0" borderId="0" xfId="1" applyFont="1"/>
    <xf numFmtId="10" fontId="2" fillId="3" borderId="3" xfId="2" applyNumberFormat="1" applyFont="1" applyFill="1" applyBorder="1" applyAlignment="1">
      <alignment horizontal="center" vertical="center" wrapText="1"/>
    </xf>
    <xf numFmtId="10" fontId="0" fillId="0" borderId="0" xfId="2" applyNumberFormat="1" applyFont="1" applyAlignment="1">
      <alignment horizontal="center" wrapText="1"/>
    </xf>
    <xf numFmtId="14" fontId="24" fillId="0" borderId="7" xfId="3" applyNumberFormat="1" applyFont="1" applyBorder="1" applyAlignment="1">
      <alignment horizontal="center" vertical="center"/>
    </xf>
    <xf numFmtId="164" fontId="24" fillId="0" borderId="4" xfId="1" applyFont="1" applyFill="1" applyBorder="1" applyAlignment="1">
      <alignment horizontal="center" vertical="center"/>
    </xf>
    <xf numFmtId="0" fontId="24" fillId="0" borderId="8" xfId="3" applyFont="1" applyBorder="1" applyAlignment="1">
      <alignment horizontal="center" vertical="center"/>
    </xf>
    <xf numFmtId="164" fontId="3" fillId="2" borderId="1" xfId="0" applyNumberFormat="1" applyFont="1" applyFill="1" applyBorder="1" applyAlignment="1">
      <alignment horizontal="center" vertical="center" wrapText="1"/>
    </xf>
    <xf numFmtId="164" fontId="0" fillId="0" borderId="0" xfId="0" applyNumberFormat="1" applyAlignment="1">
      <alignment horizontal="center"/>
    </xf>
    <xf numFmtId="0" fontId="0" fillId="5" borderId="1" xfId="0" applyFill="1" applyBorder="1" applyAlignment="1">
      <alignment horizontal="center" vertical="center"/>
    </xf>
    <xf numFmtId="0" fontId="6" fillId="5" borderId="1" xfId="0" applyFont="1" applyFill="1" applyBorder="1" applyAlignment="1">
      <alignment horizontal="center" vertical="center"/>
    </xf>
    <xf numFmtId="0" fontId="0" fillId="5" borderId="1" xfId="0" applyFill="1" applyBorder="1" applyAlignment="1">
      <alignment horizontal="center" vertical="center" wrapText="1"/>
    </xf>
    <xf numFmtId="164" fontId="6" fillId="5" borderId="1" xfId="1" applyFont="1" applyFill="1" applyBorder="1" applyAlignment="1">
      <alignment horizontal="center" vertical="center" wrapText="1"/>
    </xf>
    <xf numFmtId="0" fontId="6" fillId="5" borderId="1" xfId="1" applyNumberFormat="1" applyFont="1" applyFill="1" applyBorder="1" applyAlignment="1">
      <alignment horizontal="center" vertical="center" wrapText="1"/>
    </xf>
    <xf numFmtId="44" fontId="0" fillId="5" borderId="0" xfId="0" applyNumberFormat="1"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44" fontId="0" fillId="5" borderId="0" xfId="0" applyNumberFormat="1" applyFill="1" applyAlignment="1">
      <alignment horizontal="center" vertical="center"/>
    </xf>
    <xf numFmtId="164" fontId="0" fillId="5" borderId="1" xfId="1" applyFont="1" applyFill="1" applyBorder="1" applyAlignment="1">
      <alignment horizontal="center" vertical="center" wrapText="1"/>
    </xf>
    <xf numFmtId="0" fontId="25" fillId="5" borderId="1" xfId="0" applyFont="1" applyFill="1" applyBorder="1" applyAlignment="1">
      <alignment horizontal="center" vertical="center" wrapText="1"/>
    </xf>
    <xf numFmtId="164" fontId="25" fillId="5" borderId="1" xfId="1" applyFont="1" applyFill="1" applyBorder="1" applyAlignment="1">
      <alignment horizontal="center" vertical="center" wrapText="1"/>
    </xf>
    <xf numFmtId="0" fontId="6" fillId="5" borderId="1" xfId="0" applyFont="1" applyFill="1" applyBorder="1" applyAlignment="1">
      <alignment horizontal="center" vertical="center" wrapText="1"/>
    </xf>
    <xf numFmtId="0" fontId="0" fillId="0" borderId="1" xfId="0" applyBorder="1" applyAlignment="1">
      <alignment horizontal="center" vertical="center" wrapText="1"/>
    </xf>
    <xf numFmtId="44" fontId="0" fillId="0" borderId="0" xfId="0" applyNumberFormat="1" applyAlignment="1">
      <alignment horizontal="center" vertical="center"/>
    </xf>
    <xf numFmtId="167" fontId="2" fillId="4" borderId="10" xfId="1" applyNumberFormat="1" applyFont="1" applyFill="1" applyBorder="1" applyAlignment="1">
      <alignment horizontal="center" vertical="center" wrapText="1"/>
    </xf>
    <xf numFmtId="167" fontId="14" fillId="0" borderId="4" xfId="1" applyNumberFormat="1" applyFont="1" applyFill="1" applyBorder="1" applyAlignment="1">
      <alignment horizontal="center" vertical="center"/>
    </xf>
    <xf numFmtId="167" fontId="14" fillId="0" borderId="13" xfId="1" applyNumberFormat="1" applyFont="1" applyFill="1" applyBorder="1" applyAlignment="1">
      <alignment horizontal="center" vertical="center"/>
    </xf>
    <xf numFmtId="167" fontId="14" fillId="0" borderId="0" xfId="1" applyNumberFormat="1" applyFont="1" applyAlignment="1">
      <alignment horizontal="center" vertical="center"/>
    </xf>
    <xf numFmtId="167" fontId="18" fillId="0" borderId="0" xfId="1" applyNumberFormat="1" applyFont="1" applyAlignment="1">
      <alignment horizontal="center"/>
    </xf>
    <xf numFmtId="164" fontId="0" fillId="0" borderId="0" xfId="0" applyNumberFormat="1"/>
    <xf numFmtId="0" fontId="0" fillId="0" borderId="0" xfId="0" applyAlignment="1">
      <alignment horizontal="left" indent="1"/>
    </xf>
    <xf numFmtId="0" fontId="24" fillId="0" borderId="7" xfId="3" applyFont="1" applyBorder="1" applyAlignment="1">
      <alignment horizontal="center" vertical="center"/>
    </xf>
    <xf numFmtId="167" fontId="24" fillId="0" borderId="4" xfId="1" applyNumberFormat="1" applyFont="1" applyFill="1" applyBorder="1" applyAlignment="1">
      <alignment horizontal="center" vertical="center"/>
    </xf>
    <xf numFmtId="44" fontId="0" fillId="0" borderId="0" xfId="0" applyNumberFormat="1"/>
    <xf numFmtId="0" fontId="0" fillId="0" borderId="1" xfId="0" applyBorder="1"/>
    <xf numFmtId="164" fontId="0" fillId="0" borderId="1" xfId="1" applyFont="1" applyFill="1" applyBorder="1"/>
    <xf numFmtId="44" fontId="0" fillId="0" borderId="0" xfId="1" applyNumberFormat="1" applyFont="1"/>
    <xf numFmtId="0" fontId="24" fillId="0" borderId="4" xfId="3" applyFont="1" applyBorder="1" applyAlignment="1">
      <alignment horizontal="center" vertical="center"/>
    </xf>
    <xf numFmtId="0" fontId="24" fillId="0" borderId="12" xfId="3" applyFont="1" applyBorder="1" applyAlignment="1">
      <alignment horizontal="center" vertical="center"/>
    </xf>
    <xf numFmtId="164" fontId="24" fillId="0" borderId="13" xfId="1" applyFont="1" applyFill="1" applyBorder="1" applyAlignment="1">
      <alignment horizontal="center" vertical="center"/>
    </xf>
    <xf numFmtId="167" fontId="24" fillId="0" borderId="13" xfId="1" applyNumberFormat="1" applyFont="1" applyFill="1" applyBorder="1" applyAlignment="1">
      <alignment horizontal="center" vertical="center"/>
    </xf>
    <xf numFmtId="0" fontId="24" fillId="0" borderId="14" xfId="3" applyFont="1" applyBorder="1" applyAlignment="1">
      <alignment horizontal="center" vertical="center"/>
    </xf>
    <xf numFmtId="14" fontId="24" fillId="0" borderId="12" xfId="3" applyNumberFormat="1" applyFont="1" applyBorder="1" applyAlignment="1">
      <alignment horizontal="center" vertical="center"/>
    </xf>
    <xf numFmtId="0" fontId="6" fillId="0" borderId="0" xfId="0" applyFont="1" applyAlignment="1">
      <alignment horizontal="center" vertical="center"/>
    </xf>
    <xf numFmtId="0" fontId="2" fillId="0" borderId="0" xfId="0" applyFont="1" applyAlignment="1">
      <alignment horizontal="center" vertical="center" wrapText="1"/>
    </xf>
    <xf numFmtId="0" fontId="2" fillId="0" borderId="19" xfId="0" applyFont="1" applyBorder="1" applyAlignment="1">
      <alignment horizontal="center" vertical="center" wrapText="1"/>
    </xf>
    <xf numFmtId="0" fontId="2" fillId="3" borderId="23" xfId="0" applyFont="1" applyFill="1" applyBorder="1" applyAlignment="1">
      <alignment horizontal="center" vertical="center" wrapText="1"/>
    </xf>
    <xf numFmtId="0" fontId="6" fillId="0" borderId="24" xfId="0" applyFont="1" applyBorder="1" applyAlignment="1">
      <alignment horizontal="center" vertical="center"/>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25" xfId="0" applyFont="1" applyBorder="1" applyAlignment="1">
      <alignment horizontal="center" vertical="center"/>
    </xf>
    <xf numFmtId="0" fontId="6" fillId="0" borderId="26" xfId="0" applyFont="1" applyBorder="1" applyAlignment="1">
      <alignment horizontal="center" vertical="center"/>
    </xf>
    <xf numFmtId="0" fontId="2" fillId="3" borderId="29" xfId="0" applyFont="1" applyFill="1" applyBorder="1" applyAlignment="1">
      <alignment horizontal="center" vertical="center" wrapText="1"/>
    </xf>
    <xf numFmtId="0" fontId="27" fillId="3" borderId="23" xfId="0" applyFont="1" applyFill="1" applyBorder="1" applyAlignment="1">
      <alignment horizontal="center" vertical="center" wrapText="1"/>
    </xf>
    <xf numFmtId="0" fontId="27" fillId="3" borderId="3" xfId="0" applyFont="1" applyFill="1" applyBorder="1" applyAlignment="1">
      <alignment horizontal="center" vertical="center" wrapText="1"/>
    </xf>
    <xf numFmtId="0" fontId="27" fillId="3" borderId="30" xfId="0" applyFont="1" applyFill="1" applyBorder="1" applyAlignment="1">
      <alignment horizontal="center" vertical="center" wrapText="1"/>
    </xf>
    <xf numFmtId="0" fontId="20" fillId="0" borderId="1" xfId="0" applyFont="1" applyBorder="1" applyAlignment="1">
      <alignment horizontal="center" vertical="center"/>
    </xf>
    <xf numFmtId="0" fontId="29" fillId="0" borderId="1" xfId="0" applyFont="1" applyBorder="1" applyAlignment="1">
      <alignment horizontal="center" vertical="center"/>
    </xf>
    <xf numFmtId="0" fontId="20" fillId="0" borderId="25" xfId="0" applyFont="1" applyBorder="1" applyAlignment="1">
      <alignment horizontal="center" vertical="center"/>
    </xf>
    <xf numFmtId="0" fontId="20" fillId="0" borderId="24" xfId="0" applyFont="1" applyBorder="1" applyAlignment="1">
      <alignment horizontal="center" vertical="center"/>
    </xf>
    <xf numFmtId="0" fontId="29" fillId="0" borderId="25" xfId="0" applyFont="1" applyBorder="1" applyAlignment="1">
      <alignment horizontal="center" vertical="center"/>
    </xf>
    <xf numFmtId="0" fontId="29" fillId="0" borderId="24" xfId="0" applyFont="1" applyBorder="1" applyAlignment="1">
      <alignment horizontal="center" vertical="center"/>
    </xf>
    <xf numFmtId="0" fontId="20" fillId="0" borderId="26" xfId="0" applyFont="1" applyBorder="1" applyAlignment="1">
      <alignment horizontal="center" vertical="center"/>
    </xf>
    <xf numFmtId="0" fontId="20" fillId="0" borderId="27" xfId="0" applyFont="1" applyBorder="1" applyAlignment="1">
      <alignment horizontal="center" vertical="center"/>
    </xf>
    <xf numFmtId="0" fontId="20" fillId="0" borderId="28" xfId="0" applyFont="1" applyBorder="1" applyAlignment="1">
      <alignment horizontal="center" vertical="center"/>
    </xf>
    <xf numFmtId="0" fontId="24" fillId="0" borderId="32" xfId="3" applyFont="1" applyBorder="1" applyAlignment="1">
      <alignment horizontal="center" vertical="center"/>
    </xf>
    <xf numFmtId="14" fontId="0" fillId="0" borderId="1" xfId="0" applyNumberFormat="1" applyBorder="1"/>
    <xf numFmtId="0" fontId="0" fillId="0" borderId="1" xfId="0" applyBorder="1" applyAlignment="1">
      <alignment wrapText="1"/>
    </xf>
    <xf numFmtId="14" fontId="0" fillId="0" borderId="0" xfId="0" applyNumberFormat="1"/>
    <xf numFmtId="164" fontId="0" fillId="0" borderId="0" xfId="1" applyFont="1" applyFill="1"/>
    <xf numFmtId="14" fontId="26" fillId="3" borderId="17" xfId="0" applyNumberFormat="1" applyFont="1" applyFill="1" applyBorder="1" applyAlignment="1">
      <alignment horizontal="center" vertical="center"/>
    </xf>
    <xf numFmtId="0" fontId="26" fillId="3" borderId="0" xfId="0" applyFont="1" applyFill="1" applyAlignment="1">
      <alignment horizontal="center" vertical="center"/>
    </xf>
    <xf numFmtId="164" fontId="26" fillId="3" borderId="18" xfId="1" applyFont="1" applyFill="1" applyBorder="1" applyAlignment="1">
      <alignment horizontal="center" vertical="center"/>
    </xf>
    <xf numFmtId="0" fontId="8" fillId="0" borderId="0" xfId="3"/>
    <xf numFmtId="0" fontId="0" fillId="0" borderId="15" xfId="0" applyBorder="1" applyAlignment="1">
      <alignment horizontal="center" vertical="center"/>
    </xf>
    <xf numFmtId="0" fontId="16" fillId="0" borderId="0" xfId="3" applyFont="1" applyAlignment="1">
      <alignment horizontal="right" vertical="center" wrapText="1"/>
    </xf>
    <xf numFmtId="166" fontId="16" fillId="0" borderId="0" xfId="3" applyNumberFormat="1" applyFont="1" applyAlignment="1">
      <alignment horizontal="center" vertical="center" wrapText="1"/>
    </xf>
    <xf numFmtId="0" fontId="15" fillId="0" borderId="0" xfId="3" applyFont="1" applyAlignment="1">
      <alignment horizontal="center" vertical="center" wrapText="1"/>
    </xf>
    <xf numFmtId="1" fontId="0" fillId="0" borderId="0" xfId="0" applyNumberFormat="1" applyAlignment="1">
      <alignment horizontal="center" vertical="center"/>
    </xf>
    <xf numFmtId="164" fontId="0" fillId="0" borderId="0" xfId="1" applyFont="1" applyFill="1" applyAlignment="1">
      <alignment horizontal="center" vertical="center"/>
    </xf>
    <xf numFmtId="9" fontId="0" fillId="0" borderId="0" xfId="2" applyFont="1" applyFill="1" applyAlignment="1">
      <alignment horizontal="center" vertical="center"/>
    </xf>
    <xf numFmtId="1" fontId="0" fillId="0" borderId="0" xfId="1" applyNumberFormat="1" applyFont="1" applyFill="1"/>
    <xf numFmtId="2" fontId="0" fillId="0" borderId="0" xfId="0" applyNumberFormat="1"/>
    <xf numFmtId="0" fontId="8" fillId="0" borderId="0" xfId="3" applyAlignment="1">
      <alignment vertical="center"/>
    </xf>
    <xf numFmtId="0" fontId="9" fillId="0" borderId="0" xfId="3" applyFont="1" applyAlignment="1">
      <alignment horizontal="center" vertical="center"/>
    </xf>
    <xf numFmtId="0" fontId="3" fillId="0" borderId="16" xfId="0" applyFont="1" applyBorder="1"/>
    <xf numFmtId="166" fontId="0" fillId="0" borderId="0" xfId="3" applyNumberFormat="1" applyFont="1" applyAlignment="1">
      <alignment horizontal="center" vertical="center" wrapText="1"/>
    </xf>
    <xf numFmtId="165" fontId="0" fillId="0" borderId="0" xfId="0" applyNumberFormat="1" applyAlignment="1">
      <alignment horizontal="center" vertical="center"/>
    </xf>
    <xf numFmtId="165" fontId="0" fillId="0" borderId="0" xfId="0" applyNumberFormat="1"/>
    <xf numFmtId="165" fontId="0" fillId="0" borderId="0" xfId="1" applyNumberFormat="1" applyFont="1" applyFill="1"/>
    <xf numFmtId="9" fontId="0" fillId="0" borderId="0" xfId="2" applyFont="1" applyFill="1"/>
    <xf numFmtId="0" fontId="10" fillId="0" borderId="0" xfId="3" applyFont="1" applyAlignment="1">
      <alignment horizontal="center" vertical="center"/>
    </xf>
    <xf numFmtId="166" fontId="0" fillId="0" borderId="0" xfId="3" applyNumberFormat="1" applyFont="1" applyAlignment="1">
      <alignment horizontal="center" vertical="center"/>
    </xf>
    <xf numFmtId="166" fontId="10" fillId="0" borderId="0" xfId="3" applyNumberFormat="1" applyFont="1" applyAlignment="1">
      <alignment horizontal="center" vertical="center"/>
    </xf>
    <xf numFmtId="166" fontId="13" fillId="0" borderId="0" xfId="3" applyNumberFormat="1" applyFont="1" applyAlignment="1">
      <alignment horizontal="center" vertical="center"/>
    </xf>
    <xf numFmtId="166" fontId="14" fillId="0" borderId="0" xfId="3" applyNumberFormat="1" applyFont="1" applyAlignment="1">
      <alignment horizontal="center" vertical="center"/>
    </xf>
    <xf numFmtId="166" fontId="12" fillId="0" borderId="0" xfId="3" applyNumberFormat="1" applyFont="1" applyAlignment="1">
      <alignment horizontal="center" vertical="center"/>
    </xf>
    <xf numFmtId="44" fontId="10" fillId="0" borderId="0" xfId="3" applyNumberFormat="1" applyFont="1" applyAlignment="1">
      <alignment horizontal="center" vertical="center"/>
    </xf>
    <xf numFmtId="9" fontId="11" fillId="0" borderId="0" xfId="2" applyFont="1" applyFill="1" applyAlignment="1">
      <alignment horizontal="center" vertical="center"/>
    </xf>
    <xf numFmtId="0" fontId="0" fillId="6" borderId="0" xfId="0" applyFill="1" applyAlignment="1">
      <alignment horizontal="center" vertical="center"/>
    </xf>
    <xf numFmtId="0" fontId="0" fillId="6" borderId="15" xfId="0" applyFill="1" applyBorder="1" applyAlignment="1">
      <alignment horizontal="center" vertical="center"/>
    </xf>
    <xf numFmtId="0" fontId="0" fillId="6" borderId="0" xfId="0" applyFill="1"/>
    <xf numFmtId="0" fontId="0" fillId="6" borderId="15" xfId="0" applyFill="1" applyBorder="1"/>
    <xf numFmtId="0" fontId="24" fillId="0" borderId="13" xfId="3" applyFont="1" applyBorder="1" applyAlignment="1">
      <alignment horizontal="center" vertical="center"/>
    </xf>
    <xf numFmtId="0" fontId="6" fillId="0" borderId="0" xfId="0" applyFont="1" applyAlignment="1">
      <alignment horizontal="center"/>
    </xf>
    <xf numFmtId="1" fontId="0" fillId="0" borderId="0" xfId="0" applyNumberFormat="1"/>
    <xf numFmtId="9" fontId="0" fillId="0" borderId="0" xfId="0" applyNumberFormat="1" applyAlignment="1">
      <alignment horizontal="center" vertical="center"/>
    </xf>
    <xf numFmtId="0" fontId="0" fillId="0" borderId="0" xfId="0" applyAlignment="1">
      <alignment wrapText="1"/>
    </xf>
    <xf numFmtId="164" fontId="0" fillId="0" borderId="0" xfId="1" applyFont="1" applyFill="1" applyBorder="1"/>
    <xf numFmtId="166" fontId="11" fillId="0" borderId="0" xfId="3" applyNumberFormat="1" applyFont="1" applyAlignment="1">
      <alignment horizontal="center" vertical="center"/>
    </xf>
    <xf numFmtId="0" fontId="16" fillId="0" borderId="0" xfId="3" applyFont="1" applyAlignment="1">
      <alignment horizontal="center" vertical="center" wrapText="1"/>
    </xf>
    <xf numFmtId="44" fontId="0" fillId="5" borderId="0" xfId="0" applyNumberFormat="1" applyFill="1" applyAlignment="1">
      <alignment horizontal="center" vertical="center" wrapText="1"/>
    </xf>
    <xf numFmtId="0" fontId="0" fillId="5" borderId="0" xfId="0" applyFill="1" applyAlignment="1">
      <alignment horizontal="center" vertical="center" wrapText="1"/>
    </xf>
    <xf numFmtId="9" fontId="6" fillId="5" borderId="2" xfId="0" applyNumberFormat="1" applyFont="1" applyFill="1" applyBorder="1" applyAlignment="1">
      <alignment horizontal="center" vertical="center"/>
    </xf>
    <xf numFmtId="9" fontId="6" fillId="5" borderId="5" xfId="0" applyNumberFormat="1" applyFont="1" applyFill="1" applyBorder="1" applyAlignment="1">
      <alignment horizontal="center" vertical="center"/>
    </xf>
    <xf numFmtId="9" fontId="6" fillId="5" borderId="6" xfId="0" applyNumberFormat="1" applyFont="1" applyFill="1" applyBorder="1" applyAlignment="1">
      <alignment horizontal="center" vertical="center"/>
    </xf>
    <xf numFmtId="164" fontId="6" fillId="5" borderId="2" xfId="0" applyNumberFormat="1" applyFont="1" applyFill="1" applyBorder="1" applyAlignment="1">
      <alignment horizontal="center" vertical="center"/>
    </xf>
    <xf numFmtId="164" fontId="6" fillId="5" borderId="5" xfId="0" applyNumberFormat="1" applyFont="1" applyFill="1" applyBorder="1" applyAlignment="1">
      <alignment horizontal="center" vertical="center"/>
    </xf>
    <xf numFmtId="164" fontId="6" fillId="5" borderId="6" xfId="0" applyNumberFormat="1" applyFont="1" applyFill="1" applyBorder="1" applyAlignment="1">
      <alignment horizontal="center" vertical="center"/>
    </xf>
    <xf numFmtId="9" fontId="6" fillId="5" borderId="2" xfId="2" applyFont="1" applyFill="1" applyBorder="1" applyAlignment="1">
      <alignment horizontal="center" vertical="center"/>
    </xf>
    <xf numFmtId="9" fontId="6" fillId="5" borderId="5" xfId="2" applyFont="1" applyFill="1" applyBorder="1" applyAlignment="1">
      <alignment horizontal="center" vertical="center"/>
    </xf>
    <xf numFmtId="9" fontId="6" fillId="5" borderId="6" xfId="2" applyFont="1" applyFill="1" applyBorder="1" applyAlignment="1">
      <alignment horizontal="center" vertical="center"/>
    </xf>
    <xf numFmtId="164" fontId="17" fillId="2" borderId="2" xfId="0" applyNumberFormat="1" applyFont="1" applyFill="1" applyBorder="1" applyAlignment="1">
      <alignment horizontal="center" vertical="center"/>
    </xf>
    <xf numFmtId="164" fontId="17" fillId="2" borderId="5" xfId="0" applyNumberFormat="1" applyFont="1" applyFill="1" applyBorder="1" applyAlignment="1">
      <alignment horizontal="center" vertical="center"/>
    </xf>
    <xf numFmtId="164" fontId="17" fillId="2" borderId="6" xfId="0" applyNumberFormat="1" applyFont="1" applyFill="1" applyBorder="1" applyAlignment="1">
      <alignment horizontal="center" vertical="center"/>
    </xf>
    <xf numFmtId="164" fontId="6" fillId="5" borderId="1" xfId="1" applyFont="1" applyFill="1" applyBorder="1" applyAlignment="1">
      <alignment horizontal="center" vertical="center" wrapText="1"/>
    </xf>
    <xf numFmtId="10" fontId="6" fillId="5" borderId="1" xfId="2" applyNumberFormat="1" applyFont="1" applyFill="1" applyBorder="1" applyAlignment="1">
      <alignment horizontal="center" vertical="center" wrapText="1"/>
    </xf>
    <xf numFmtId="164" fontId="17" fillId="2" borderId="1" xfId="0" applyNumberFormat="1" applyFont="1" applyFill="1" applyBorder="1" applyAlignment="1">
      <alignment horizontal="center" vertical="center" wrapText="1"/>
    </xf>
    <xf numFmtId="164" fontId="6" fillId="5" borderId="2" xfId="1" applyFont="1" applyFill="1" applyBorder="1" applyAlignment="1">
      <alignment horizontal="center" vertical="center" wrapText="1"/>
    </xf>
    <xf numFmtId="164" fontId="6" fillId="5" borderId="5" xfId="1" applyFont="1" applyFill="1" applyBorder="1" applyAlignment="1">
      <alignment horizontal="center" vertical="center" wrapText="1"/>
    </xf>
    <xf numFmtId="164" fontId="6" fillId="5" borderId="6" xfId="1" applyFont="1" applyFill="1" applyBorder="1" applyAlignment="1">
      <alignment horizontal="center" vertical="center" wrapText="1"/>
    </xf>
    <xf numFmtId="0" fontId="6" fillId="5" borderId="1" xfId="1" applyNumberFormat="1" applyFont="1" applyFill="1" applyBorder="1" applyAlignment="1">
      <alignment horizontal="center" vertical="center" wrapText="1"/>
    </xf>
    <xf numFmtId="1" fontId="17" fillId="2" borderId="1" xfId="1" applyNumberFormat="1" applyFont="1" applyFill="1" applyBorder="1" applyAlignment="1">
      <alignment horizontal="center" vertical="center" wrapText="1"/>
    </xf>
    <xf numFmtId="164" fontId="17" fillId="2" borderId="1" xfId="0" applyNumberFormat="1" applyFont="1" applyFill="1" applyBorder="1" applyAlignment="1">
      <alignment horizontal="center" vertical="center"/>
    </xf>
    <xf numFmtId="9" fontId="6" fillId="5" borderId="1" xfId="2" applyFont="1" applyFill="1" applyBorder="1" applyAlignment="1">
      <alignment horizontal="center" vertical="center"/>
    </xf>
    <xf numFmtId="164" fontId="6" fillId="5" borderId="1" xfId="0" applyNumberFormat="1" applyFont="1" applyFill="1" applyBorder="1" applyAlignment="1">
      <alignment horizontal="center" vertical="center"/>
    </xf>
    <xf numFmtId="9" fontId="6" fillId="5" borderId="1" xfId="0" applyNumberFormat="1" applyFont="1" applyFill="1" applyBorder="1" applyAlignment="1">
      <alignment horizontal="center" vertical="center"/>
    </xf>
    <xf numFmtId="10" fontId="6" fillId="5" borderId="2" xfId="2" applyNumberFormat="1" applyFont="1" applyFill="1" applyBorder="1" applyAlignment="1">
      <alignment horizontal="center" vertical="center" wrapText="1"/>
    </xf>
    <xf numFmtId="10" fontId="6" fillId="5" borderId="5" xfId="2" applyNumberFormat="1" applyFont="1" applyFill="1" applyBorder="1" applyAlignment="1">
      <alignment horizontal="center" vertical="center" wrapText="1"/>
    </xf>
    <xf numFmtId="10" fontId="6" fillId="5" borderId="6" xfId="2" applyNumberFormat="1" applyFont="1" applyFill="1" applyBorder="1" applyAlignment="1">
      <alignment horizontal="center" vertical="center" wrapText="1"/>
    </xf>
    <xf numFmtId="164" fontId="17" fillId="2" borderId="2" xfId="0" applyNumberFormat="1" applyFont="1" applyFill="1" applyBorder="1" applyAlignment="1">
      <alignment horizontal="center" vertical="center" wrapText="1"/>
    </xf>
    <xf numFmtId="164" fontId="17" fillId="2" borderId="5" xfId="0" applyNumberFormat="1" applyFont="1" applyFill="1" applyBorder="1" applyAlignment="1">
      <alignment horizontal="center" vertical="center" wrapText="1"/>
    </xf>
    <xf numFmtId="164" fontId="17" fillId="2" borderId="6" xfId="0" applyNumberFormat="1" applyFont="1" applyFill="1" applyBorder="1" applyAlignment="1">
      <alignment horizontal="center" vertical="center" wrapText="1"/>
    </xf>
    <xf numFmtId="0" fontId="6" fillId="5" borderId="2" xfId="1" applyNumberFormat="1" applyFont="1" applyFill="1" applyBorder="1" applyAlignment="1">
      <alignment horizontal="center" vertical="center" wrapText="1"/>
    </xf>
    <xf numFmtId="0" fontId="6" fillId="5" borderId="5" xfId="1" applyNumberFormat="1" applyFont="1" applyFill="1" applyBorder="1" applyAlignment="1">
      <alignment horizontal="center" vertical="center" wrapText="1"/>
    </xf>
    <xf numFmtId="0" fontId="6" fillId="5" borderId="6" xfId="1" applyNumberFormat="1" applyFont="1" applyFill="1" applyBorder="1" applyAlignment="1">
      <alignment horizontal="center" vertical="center" wrapText="1"/>
    </xf>
    <xf numFmtId="1" fontId="17" fillId="2" borderId="2" xfId="1" applyNumberFormat="1" applyFont="1" applyFill="1" applyBorder="1" applyAlignment="1">
      <alignment horizontal="center" vertical="center" wrapText="1"/>
    </xf>
    <xf numFmtId="1" fontId="17" fillId="2" borderId="5" xfId="1" applyNumberFormat="1" applyFont="1" applyFill="1" applyBorder="1" applyAlignment="1">
      <alignment horizontal="center" vertical="center" wrapText="1"/>
    </xf>
    <xf numFmtId="1" fontId="17" fillId="2" borderId="6" xfId="1" applyNumberFormat="1" applyFont="1" applyFill="1" applyBorder="1" applyAlignment="1">
      <alignment horizontal="center" vertical="center" wrapText="1"/>
    </xf>
    <xf numFmtId="164" fontId="6" fillId="0" borderId="1" xfId="1" applyFont="1" applyFill="1" applyBorder="1" applyAlignment="1">
      <alignment horizontal="center" vertical="center" wrapText="1"/>
    </xf>
    <xf numFmtId="10" fontId="6" fillId="0" borderId="1" xfId="2" applyNumberFormat="1" applyFont="1" applyFill="1" applyBorder="1" applyAlignment="1">
      <alignment horizontal="center" vertical="center" wrapText="1"/>
    </xf>
    <xf numFmtId="164" fontId="6" fillId="0" borderId="2" xfId="1" applyFont="1" applyFill="1" applyBorder="1" applyAlignment="1">
      <alignment horizontal="center" vertical="center" wrapText="1"/>
    </xf>
    <xf numFmtId="164" fontId="6" fillId="0" borderId="5" xfId="1" applyFont="1" applyFill="1" applyBorder="1" applyAlignment="1">
      <alignment horizontal="center" vertical="center" wrapText="1"/>
    </xf>
    <xf numFmtId="164" fontId="6" fillId="0" borderId="6" xfId="1" applyFont="1" applyFill="1" applyBorder="1" applyAlignment="1">
      <alignment horizontal="center" vertical="center" wrapText="1"/>
    </xf>
    <xf numFmtId="0" fontId="6" fillId="0" borderId="2" xfId="1" applyNumberFormat="1" applyFont="1" applyFill="1" applyBorder="1" applyAlignment="1">
      <alignment horizontal="center" vertical="center" wrapText="1"/>
    </xf>
    <xf numFmtId="0" fontId="6" fillId="0" borderId="5" xfId="1" applyNumberFormat="1" applyFont="1" applyFill="1" applyBorder="1" applyAlignment="1">
      <alignment horizontal="center" vertical="center" wrapText="1"/>
    </xf>
    <xf numFmtId="0" fontId="6" fillId="0" borderId="6" xfId="1" applyNumberFormat="1" applyFont="1" applyFill="1" applyBorder="1" applyAlignment="1">
      <alignment horizontal="center" vertical="center" wrapText="1"/>
    </xf>
    <xf numFmtId="0" fontId="6" fillId="0" borderId="1" xfId="1" applyNumberFormat="1" applyFont="1" applyFill="1" applyBorder="1" applyAlignment="1">
      <alignment horizontal="center" vertical="center" wrapText="1"/>
    </xf>
    <xf numFmtId="9" fontId="6" fillId="0" borderId="2" xfId="0" applyNumberFormat="1" applyFont="1" applyBorder="1" applyAlignment="1">
      <alignment horizontal="center" vertical="center"/>
    </xf>
    <xf numFmtId="9" fontId="6" fillId="0" borderId="5" xfId="0" applyNumberFormat="1" applyFont="1" applyBorder="1" applyAlignment="1">
      <alignment horizontal="center" vertical="center"/>
    </xf>
    <xf numFmtId="9" fontId="6" fillId="0" borderId="6" xfId="0" applyNumberFormat="1" applyFont="1" applyBorder="1" applyAlignment="1">
      <alignment horizontal="center" vertical="center"/>
    </xf>
    <xf numFmtId="164" fontId="6" fillId="0" borderId="2" xfId="0" applyNumberFormat="1" applyFont="1" applyBorder="1" applyAlignment="1">
      <alignment horizontal="center" vertical="center"/>
    </xf>
    <xf numFmtId="164" fontId="6" fillId="0" borderId="5" xfId="0" applyNumberFormat="1" applyFont="1" applyBorder="1" applyAlignment="1">
      <alignment horizontal="center" vertical="center"/>
    </xf>
    <xf numFmtId="164" fontId="6" fillId="0" borderId="6" xfId="0" applyNumberFormat="1" applyFont="1" applyBorder="1" applyAlignment="1">
      <alignment horizontal="center" vertical="center"/>
    </xf>
    <xf numFmtId="9" fontId="6" fillId="0" borderId="2" xfId="2" applyFont="1" applyFill="1" applyBorder="1" applyAlignment="1">
      <alignment horizontal="center" vertical="center"/>
    </xf>
    <xf numFmtId="9" fontId="6" fillId="0" borderId="5" xfId="2" applyFont="1" applyFill="1" applyBorder="1" applyAlignment="1">
      <alignment horizontal="center" vertical="center"/>
    </xf>
    <xf numFmtId="9" fontId="6" fillId="0" borderId="6" xfId="2" applyFont="1" applyFill="1" applyBorder="1" applyAlignment="1">
      <alignment horizontal="center" vertical="center"/>
    </xf>
    <xf numFmtId="1" fontId="6" fillId="0" borderId="1" xfId="1" applyNumberFormat="1" applyFont="1" applyFill="1" applyBorder="1" applyAlignment="1">
      <alignment horizontal="left" vertical="center" wrapText="1"/>
    </xf>
    <xf numFmtId="1" fontId="6" fillId="0" borderId="2" xfId="1" applyNumberFormat="1" applyFont="1" applyFill="1" applyBorder="1" applyAlignment="1">
      <alignment horizontal="left" vertical="center" wrapText="1"/>
    </xf>
    <xf numFmtId="1" fontId="6" fillId="0" borderId="5" xfId="1" applyNumberFormat="1" applyFont="1" applyFill="1" applyBorder="1" applyAlignment="1">
      <alignment horizontal="left" vertical="center" wrapText="1"/>
    </xf>
    <xf numFmtId="1" fontId="6" fillId="0" borderId="6" xfId="1" applyNumberFormat="1" applyFont="1" applyFill="1" applyBorder="1" applyAlignment="1">
      <alignment horizontal="left" vertical="center" wrapText="1"/>
    </xf>
    <xf numFmtId="0" fontId="29" fillId="0" borderId="31" xfId="0" applyFont="1" applyBorder="1" applyAlignment="1">
      <alignment horizontal="right" vertical="center"/>
    </xf>
    <xf numFmtId="0" fontId="29" fillId="0" borderId="0" xfId="0" applyFont="1" applyAlignment="1">
      <alignment horizontal="right" vertical="center"/>
    </xf>
    <xf numFmtId="0" fontId="15" fillId="0" borderId="31" xfId="0" applyFont="1" applyBorder="1" applyAlignment="1">
      <alignment horizontal="center" vertical="center"/>
    </xf>
    <xf numFmtId="0" fontId="15" fillId="0" borderId="0" xfId="0" applyFont="1" applyAlignment="1">
      <alignment horizontal="center" vertical="center"/>
    </xf>
    <xf numFmtId="164" fontId="15" fillId="0" borderId="31" xfId="1" applyFont="1" applyBorder="1" applyAlignment="1">
      <alignment horizontal="center" vertical="center"/>
    </xf>
    <xf numFmtId="164" fontId="15" fillId="0" borderId="0" xfId="1" applyFont="1" applyAlignment="1">
      <alignment horizontal="center" vertical="center"/>
    </xf>
    <xf numFmtId="0" fontId="2" fillId="3" borderId="20" xfId="0" applyFont="1" applyFill="1" applyBorder="1" applyAlignment="1">
      <alignment horizontal="center" vertical="center" wrapText="1"/>
    </xf>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8" fillId="3" borderId="20" xfId="0" applyFont="1" applyFill="1" applyBorder="1" applyAlignment="1">
      <alignment horizontal="center" vertical="center" wrapText="1"/>
    </xf>
    <xf numFmtId="0" fontId="28" fillId="3" borderId="21" xfId="0" applyFont="1" applyFill="1" applyBorder="1" applyAlignment="1">
      <alignment horizontal="center" vertical="center" wrapText="1"/>
    </xf>
    <xf numFmtId="0" fontId="28" fillId="3" borderId="22" xfId="0" applyFont="1" applyFill="1" applyBorder="1" applyAlignment="1">
      <alignment horizontal="center" vertical="center" wrapText="1"/>
    </xf>
  </cellXfs>
  <cellStyles count="4">
    <cellStyle name="Moeda" xfId="1" builtinId="4"/>
    <cellStyle name="Normal" xfId="0" builtinId="0"/>
    <cellStyle name="Normal 2" xfId="3" xr:uid="{00000000-0005-0000-0000-000002000000}"/>
    <cellStyle name="Porcentagem" xfId="2" builtinId="5"/>
  </cellStyles>
  <dxfs count="176">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9" formatCode="dd/mm/yyyy"/>
      <fill>
        <patternFill patternType="none">
          <fgColor indexed="64"/>
          <bgColor auto="1"/>
        </patternFill>
      </fill>
    </dxf>
    <dxf>
      <border outline="0">
        <top style="thin">
          <color theme="9" tint="0.39997558519241921"/>
        </top>
      </border>
    </dxf>
    <dxf>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theme="4"/>
        </left>
        <right/>
        <top style="thin">
          <color theme="4"/>
        </top>
        <bottom style="thin">
          <color theme="4"/>
        </bottom>
      </border>
    </dxf>
    <dxf>
      <font>
        <b val="0"/>
        <i val="0"/>
        <strike val="0"/>
        <condense val="0"/>
        <extend val="0"/>
        <outline val="0"/>
        <shadow val="0"/>
        <u val="none"/>
        <vertAlign val="baseline"/>
        <sz val="10"/>
        <color theme="0"/>
        <name val="Arial"/>
        <scheme val="none"/>
      </font>
      <fill>
        <patternFill patternType="none">
          <fgColor indexed="64"/>
          <bgColor auto="1"/>
        </patternFill>
      </fill>
      <alignment horizontal="center" vertical="center" textRotation="0" wrapText="0" indent="0" justifyLastLine="0" shrinkToFit="0" readingOrder="0"/>
      <border diagonalUp="0" diagonalDown="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0"/>
        <name val="Arial"/>
        <scheme val="none"/>
      </font>
      <fill>
        <patternFill patternType="none">
          <fgColor indexed="64"/>
          <bgColor auto="1"/>
        </patternFill>
      </fill>
      <alignment horizontal="center" vertical="center" textRotation="0" wrapText="0" indent="0" justifyLastLine="0" shrinkToFit="0" readingOrder="0"/>
      <border diagonalUp="0" diagonalDown="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0"/>
        <name val="Arial"/>
        <scheme val="none"/>
      </font>
      <numFmt numFmtId="167" formatCode="0.0"/>
      <fill>
        <patternFill patternType="none">
          <fgColor indexed="64"/>
          <bgColor auto="1"/>
        </patternFill>
      </fill>
      <alignment horizontal="center" vertical="center" textRotation="0" wrapText="0" indent="0" justifyLastLine="0" shrinkToFit="0" readingOrder="0"/>
      <border diagonalUp="0" diagonalDown="0"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0"/>
        <name val="Arial"/>
        <scheme val="none"/>
      </font>
      <fill>
        <patternFill patternType="none">
          <fgColor indexed="64"/>
          <bgColor auto="1"/>
        </patternFill>
      </fill>
      <alignment horizontal="center" vertical="center" textRotation="0" wrapText="0" indent="0" justifyLastLine="0" shrinkToFit="0" readingOrder="0"/>
      <border diagonalUp="0" diagonalDown="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0"/>
        <name val="Arial"/>
        <scheme val="none"/>
      </font>
      <numFmt numFmtId="164" formatCode="_(&quot;R$&quot;* #,##0.00_);_(&quot;R$&quot;* \(#,##0.00\);_(&quot;R$&quot;*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0"/>
        <name val="Arial"/>
        <scheme val="none"/>
      </font>
      <numFmt numFmtId="164" formatCode="_(&quot;R$&quot;* #,##0.00_);_(&quot;R$&quot;* \(#,##0.00\);_(&quot;R$&quot;*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0"/>
        <name val="Arial"/>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0"/>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4"/>
        </right>
        <top style="thin">
          <color theme="4"/>
        </top>
        <bottom style="thin">
          <color theme="4"/>
        </bottom>
      </border>
    </dxf>
    <dxf>
      <font>
        <b val="0"/>
        <i val="0"/>
        <strike val="0"/>
        <condense val="0"/>
        <extend val="0"/>
        <outline val="0"/>
        <shadow val="0"/>
        <u val="none"/>
        <vertAlign val="baseline"/>
        <sz val="10"/>
        <color theme="0"/>
        <name val="Arial"/>
        <scheme val="none"/>
      </font>
      <numFmt numFmtId="0" formatCode="General"/>
      <alignment horizontal="center" vertical="center" textRotation="0" wrapText="0" indent="0" justifyLastLine="0" shrinkToFit="0" readingOrder="0"/>
      <border diagonalUp="0" diagonalDown="0">
        <left/>
        <right style="thin">
          <color theme="4"/>
        </right>
        <top style="thin">
          <color theme="4"/>
        </top>
        <bottom/>
        <vertical/>
        <horizontal/>
      </border>
    </dxf>
    <dxf>
      <font>
        <b val="0"/>
        <i val="0"/>
        <strike val="0"/>
        <condense val="0"/>
        <extend val="0"/>
        <outline val="0"/>
        <shadow val="0"/>
        <u val="none"/>
        <vertAlign val="baseline"/>
        <sz val="10"/>
        <color theme="0"/>
        <name val="Arial"/>
        <scheme val="none"/>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theme="4"/>
        </right>
        <top style="thin">
          <color theme="4"/>
        </top>
        <bottom style="thin">
          <color theme="4"/>
        </bottom>
      </border>
    </dxf>
    <dxf>
      <border outline="0">
        <top style="thin">
          <color theme="4"/>
        </top>
      </border>
    </dxf>
    <dxf>
      <border outline="0">
        <left style="thin">
          <color theme="4"/>
        </left>
        <right style="thin">
          <color theme="4"/>
        </right>
        <top style="thin">
          <color theme="4"/>
        </top>
        <bottom style="thin">
          <color theme="4"/>
        </bottom>
      </border>
    </dxf>
    <dxf>
      <font>
        <strike val="0"/>
        <outline val="0"/>
        <shadow val="0"/>
        <u val="none"/>
        <vertAlign val="baseline"/>
        <color auto="1"/>
      </font>
      <fill>
        <patternFill patternType="none">
          <fgColor indexed="64"/>
          <bgColor auto="1"/>
        </patternFill>
      </fill>
      <alignment horizontal="center" textRotation="0" indent="0" justifyLastLine="0" shrinkToFit="0" readingOrder="0"/>
    </dxf>
    <dxf>
      <border outline="0">
        <bottom style="thin">
          <color theme="4"/>
        </bottom>
      </border>
    </dxf>
    <dxf>
      <font>
        <b/>
        <i val="0"/>
        <strike val="0"/>
        <condense val="0"/>
        <extend val="0"/>
        <outline val="0"/>
        <shadow val="0"/>
        <u val="none"/>
        <vertAlign val="baseline"/>
        <sz val="12"/>
        <color auto="1"/>
        <name val="Calibri"/>
        <scheme val="minor"/>
      </font>
      <fill>
        <patternFill patternType="solid">
          <fgColor rgb="FFFF0000"/>
          <bgColor theme="5" tint="-0.499984740745262"/>
        </patternFill>
      </fill>
      <alignment horizontal="center" vertical="center" textRotation="0" wrapText="1" indent="0" justifyLastLine="0" shrinkToFit="0" readingOrder="0"/>
      <border diagonalUp="0" diagonalDown="0" outline="0">
        <left style="thin">
          <color theme="4"/>
        </left>
        <right style="thin">
          <color theme="4"/>
        </right>
        <top/>
        <bottom/>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quot;R$&quot;\ #,##0.00"/>
    </dxf>
    <dxf>
      <numFmt numFmtId="2" formatCode="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 formatCode="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quot;R$&quot;\ #,##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none">
          <bgColor auto="1"/>
        </patternFill>
      </fill>
    </dxf>
    <dxf>
      <fill>
        <patternFill patternType="none">
          <bgColor auto="1"/>
        </patternFill>
      </fill>
    </dxf>
    <dxf>
      <fill>
        <patternFill patternType="none">
          <bgColor auto="1"/>
        </patternFill>
      </fill>
    </dxf>
    <dxf>
      <numFmt numFmtId="164" formatCode="_(&quot;R$&quot;* #,##0.00_);_(&quot;R$&quot;* \(#,##0.00\);_(&quot;R$&quot;*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 formatCode="0"/>
    </dxf>
    <dxf>
      <numFmt numFmtId="2" formatCode="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quot;R$&quot;\ #,##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quot;R$&quot;\ #,##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quot;R$&quot;\ #,##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3" formatCode="0%"/>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1"/>
        <color theme="0"/>
      </font>
      <fill>
        <patternFill>
          <bgColor theme="5"/>
        </patternFill>
      </fill>
      <border>
        <vertical/>
        <horizontal/>
      </border>
    </dxf>
    <dxf>
      <font>
        <color theme="1"/>
      </font>
      <border>
        <left style="thin">
          <color theme="5"/>
        </left>
        <right style="thin">
          <color theme="5"/>
        </right>
        <top style="thin">
          <color theme="5"/>
        </top>
        <bottom style="thin">
          <color theme="5"/>
        </bottom>
        <vertical/>
        <horizontal/>
      </border>
    </dxf>
    <dxf>
      <font>
        <color theme="0"/>
      </font>
      <fill>
        <patternFill>
          <bgColor theme="0" tint="-0.499984740745262"/>
        </patternFill>
      </fill>
      <border>
        <bottom style="thin">
          <color theme="6"/>
        </bottom>
        <vertical/>
        <horizontal/>
      </border>
    </dxf>
    <dxf>
      <font>
        <color theme="0"/>
      </font>
      <fill>
        <patternFill>
          <bgColor theme="0" tint="-0.499984740745262"/>
        </patternFill>
      </fill>
      <border>
        <left style="thin">
          <color theme="6"/>
        </left>
        <right style="thin">
          <color theme="6"/>
        </right>
        <top style="thin">
          <color theme="6"/>
        </top>
        <bottom style="thin">
          <color theme="6"/>
        </bottom>
        <vertical/>
        <horizontal/>
      </border>
    </dxf>
    <dxf>
      <font>
        <b/>
        <color theme="1"/>
      </font>
      <border>
        <bottom style="thin">
          <color theme="4"/>
        </bottom>
        <vertical/>
        <horizontal/>
      </border>
    </dxf>
    <dxf>
      <font>
        <color theme="0"/>
      </font>
      <fill>
        <patternFill>
          <bgColor theme="0" tint="-0.34998626667073579"/>
        </patternFill>
      </fill>
      <border diagonalUp="0" diagonalDown="0">
        <left/>
        <right/>
        <top/>
        <bottom/>
        <vertical/>
        <horizontal/>
      </border>
    </dxf>
  </dxfs>
  <tableStyles count="3" defaultTableStyle="TableStyleMedium2" defaultPivotStyle="PivotStyleLight16">
    <tableStyle name="SlicerStyleDark1 2" pivot="0" table="0" count="10" xr9:uid="{00000000-0011-0000-FFFF-FFFF00000000}">
      <tableStyleElement type="wholeTable" dxfId="175"/>
      <tableStyleElement type="headerRow" dxfId="174"/>
    </tableStyle>
    <tableStyle name="SlicerStyleDark3 2" pivot="0" table="0" count="10" xr9:uid="{00000000-0011-0000-FFFF-FFFF01000000}">
      <tableStyleElement type="wholeTable" dxfId="173"/>
      <tableStyleElement type="headerRow" dxfId="172"/>
    </tableStyle>
    <tableStyle name="TimeSlicerStyleDark2 2" pivot="0" table="0" count="9" xr9:uid="{00000000-0011-0000-FFFF-FFFF02000000}">
      <tableStyleElement type="wholeTable" dxfId="171"/>
      <tableStyleElement type="headerRow" dxfId="170"/>
    </tableStyle>
  </tableStyles>
  <colors>
    <mruColors>
      <color rgb="FFFD9803"/>
      <color rgb="FFFF3737"/>
      <color rgb="FFFF1D1D"/>
      <color rgb="FF007A37"/>
      <color rgb="FFEEB500"/>
      <color rgb="FF996633"/>
      <color rgb="FFEB3F1D"/>
      <color rgb="FFF17259"/>
      <color rgb="FF9900FF"/>
      <color rgb="FFCC00FF"/>
    </mruColors>
  </colors>
  <extLst>
    <ext xmlns:x14="http://schemas.microsoft.com/office/spreadsheetml/2009/9/main" uri="{46F421CA-312F-682f-3DD2-61675219B42D}">
      <x14:dxfs count="16">
        <dxf>
          <font>
            <color theme="0"/>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0" tint="-0.499984740745262"/>
            </patternFill>
          </fill>
          <border diagonalUp="0" diagonalDown="0">
            <left/>
            <right/>
            <top/>
            <bottom/>
            <vertical/>
            <horizontal/>
          </border>
        </dxf>
        <dxf>
          <font>
            <color theme="1"/>
          </font>
          <fill>
            <patternFill patternType="solid">
              <fgColor theme="0" tint="-0.24994659260841701"/>
              <bgColor theme="0"/>
            </patternFill>
          </fill>
          <border diagonalUp="0" diagonalDown="0">
            <left/>
            <right/>
            <top/>
            <bottom/>
            <vertical/>
            <horizontal/>
          </border>
        </dxf>
        <dxf>
          <font>
            <color theme="0"/>
          </font>
          <fill>
            <patternFill patternType="solid">
              <fgColor theme="1"/>
              <bgColor theme="1"/>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theme="1"/>
              <bgColor theme="0" tint="-0.499984740745262"/>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2">
        <x14:slicerStyle name="SlicerStyleDark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5" tint="0.39997558519241921"/>
              <bgColor theme="5"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5"/>
              </stop>
              <stop position="1">
                <color theme="5"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5"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06/relationships/vbaProject" Target="vbaProject.bin"/><Relationship Id="rId10" Type="http://schemas.openxmlformats.org/officeDocument/2006/relationships/pivotCacheDefinition" Target="pivotCache/pivotCacheDefinition3.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brigadeiros 24-02.xlsm]Gráficos!Tabela dinâmica3</c:name>
    <c:fmtId val="5"/>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Valor Para Produzir</a:t>
            </a:r>
          </a:p>
        </c:rich>
      </c:tx>
      <c:overlay val="0"/>
      <c:spPr>
        <a:solidFill>
          <a:srgbClr val="FFFF00"/>
        </a:solid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pt-BR"/>
        </a:p>
      </c:txPr>
    </c:title>
    <c:autoTitleDeleted val="0"/>
    <c:pivotFmts>
      <c:pivotFmt>
        <c:idx val="0"/>
        <c:spPr>
          <a:solidFill>
            <a:srgbClr val="EB3F1D"/>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7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38649837876962984"/>
          <c:w val="0.93888888888888888"/>
          <c:h val="0.22583190154853369"/>
        </c:manualLayout>
      </c:layout>
      <c:barChart>
        <c:barDir val="col"/>
        <c:grouping val="clustered"/>
        <c:varyColors val="0"/>
        <c:ser>
          <c:idx val="0"/>
          <c:order val="0"/>
          <c:tx>
            <c:strRef>
              <c:f>Gráficos!$AD$3</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7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Gráficos!$AC$4:$AC$30</c:f>
              <c:strCache>
                <c:ptCount val="27"/>
                <c:pt idx="0">
                  <c:v>BRIGADEIRO NESCAU</c:v>
                </c:pt>
                <c:pt idx="1">
                  <c:v>(vazio)</c:v>
                </c:pt>
                <c:pt idx="2">
                  <c:v>BRIGADEIRO PAÇOCA</c:v>
                </c:pt>
                <c:pt idx="3">
                  <c:v>BRIGADEIRO NESQUIK</c:v>
                </c:pt>
                <c:pt idx="4">
                  <c:v>CAIXA 12 Un.</c:v>
                </c:pt>
                <c:pt idx="5">
                  <c:v>CAIXA 100 Un.</c:v>
                </c:pt>
                <c:pt idx="6">
                  <c:v>BRIGADEIRO LEITE NINHO C/ NUTELLA</c:v>
                </c:pt>
                <c:pt idx="7">
                  <c:v>CAIXA 8 Un.</c:v>
                </c:pt>
                <c:pt idx="8">
                  <c:v>CAIXA 30 Un.</c:v>
                </c:pt>
                <c:pt idx="9">
                  <c:v>BRIGADEIRO CHURROS</c:v>
                </c:pt>
                <c:pt idx="10">
                  <c:v>BRIGADEIRO BEIJINHO (Coco)</c:v>
                </c:pt>
                <c:pt idx="11">
                  <c:v>BRIGADEIRO AO LEITE 50%</c:v>
                </c:pt>
                <c:pt idx="12">
                  <c:v>BRIGADEIRO LEITE NINHO</c:v>
                </c:pt>
                <c:pt idx="13">
                  <c:v>BRIGADEIRO CASADINHO</c:v>
                </c:pt>
                <c:pt idx="14">
                  <c:v>BRIGADEIRO CHOCOLATE C/ MORANGO</c:v>
                </c:pt>
                <c:pt idx="15">
                  <c:v>BRIGADEIRO CHOCOBOL</c:v>
                </c:pt>
                <c:pt idx="16">
                  <c:v>BRIGADEIRO CAJUZINHO</c:v>
                </c:pt>
                <c:pt idx="17">
                  <c:v>BRIGADEIRO PRESTIGIO</c:v>
                </c:pt>
                <c:pt idx="18">
                  <c:v>BRIGADEIRO MEIO AMARGO</c:v>
                </c:pt>
                <c:pt idx="19">
                  <c:v>BRIGADEIRO CAFÉ</c:v>
                </c:pt>
                <c:pt idx="20">
                  <c:v>BRIGADEIRO M&amp;M</c:v>
                </c:pt>
                <c:pt idx="21">
                  <c:v>BRIGADEIRO NAPOLITANO</c:v>
                </c:pt>
                <c:pt idx="22">
                  <c:v>BRIGADEIRO ROMEU E JULIETA</c:v>
                </c:pt>
                <c:pt idx="23">
                  <c:v>BRIGADEIRO COCO QUEIMADO</c:v>
                </c:pt>
                <c:pt idx="24">
                  <c:v>BRIGADEIRO DE FERRERO</c:v>
                </c:pt>
                <c:pt idx="25">
                  <c:v>BRIGADEIRO FLORESTA NEGRA</c:v>
                </c:pt>
                <c:pt idx="26">
                  <c:v>BRIGADEIRO CARAMELO</c:v>
                </c:pt>
              </c:strCache>
            </c:strRef>
          </c:cat>
          <c:val>
            <c:numRef>
              <c:f>Gráficos!$AD$4:$AD$30</c:f>
              <c:numCache>
                <c:formatCode>"R$"\ #,##0.00</c:formatCode>
                <c:ptCount val="27"/>
                <c:pt idx="0">
                  <c:v>14.101146666666667</c:v>
                </c:pt>
                <c:pt idx="2">
                  <c:v>15.081428571428573</c:v>
                </c:pt>
                <c:pt idx="3">
                  <c:v>13.226666666666667</c:v>
                </c:pt>
                <c:pt idx="4">
                  <c:v>11.749016247461233</c:v>
                </c:pt>
                <c:pt idx="5">
                  <c:v>88.6188657656826</c:v>
                </c:pt>
                <c:pt idx="6">
                  <c:v>21.933333333333334</c:v>
                </c:pt>
                <c:pt idx="7">
                  <c:v>7.2464747127578857</c:v>
                </c:pt>
                <c:pt idx="8">
                  <c:v>27.185659729704778</c:v>
                </c:pt>
                <c:pt idx="9">
                  <c:v>14.045999999999999</c:v>
                </c:pt>
                <c:pt idx="10">
                  <c:v>13.525</c:v>
                </c:pt>
                <c:pt idx="11">
                  <c:v>27.678166666666666</c:v>
                </c:pt>
                <c:pt idx="12">
                  <c:v>14.833333333333336</c:v>
                </c:pt>
                <c:pt idx="13">
                  <c:v>25.753333333333334</c:v>
                </c:pt>
                <c:pt idx="14">
                  <c:v>18.047146666666666</c:v>
                </c:pt>
                <c:pt idx="15">
                  <c:v>15.104346666666666</c:v>
                </c:pt>
                <c:pt idx="16">
                  <c:v>15.031666666666666</c:v>
                </c:pt>
                <c:pt idx="17">
                  <c:v>14.17463963963964</c:v>
                </c:pt>
                <c:pt idx="18">
                  <c:v>26.993666666666662</c:v>
                </c:pt>
                <c:pt idx="19">
                  <c:v>14.571166666666667</c:v>
                </c:pt>
                <c:pt idx="20">
                  <c:v>14.626466666666667</c:v>
                </c:pt>
                <c:pt idx="21">
                  <c:v>37.616666666666667</c:v>
                </c:pt>
                <c:pt idx="22">
                  <c:v>16.777333333333331</c:v>
                </c:pt>
                <c:pt idx="23">
                  <c:v>20.206666666666663</c:v>
                </c:pt>
                <c:pt idx="24">
                  <c:v>16.012380952380951</c:v>
                </c:pt>
                <c:pt idx="25">
                  <c:v>20.968902691511385</c:v>
                </c:pt>
                <c:pt idx="26">
                  <c:v>11.696366666666666</c:v>
                </c:pt>
              </c:numCache>
            </c:numRef>
          </c:val>
          <c:extLst>
            <c:ext xmlns:c16="http://schemas.microsoft.com/office/drawing/2014/chart" uri="{C3380CC4-5D6E-409C-BE32-E72D297353CC}">
              <c16:uniqueId val="{00000000-5AA4-4E9D-82E9-A85BE5C73FDD}"/>
            </c:ext>
          </c:extLst>
        </c:ser>
        <c:dLbls>
          <c:showLegendKey val="0"/>
          <c:showVal val="0"/>
          <c:showCatName val="0"/>
          <c:showSerName val="0"/>
          <c:showPercent val="0"/>
          <c:showBubbleSize val="0"/>
        </c:dLbls>
        <c:gapWidth val="219"/>
        <c:overlap val="-27"/>
        <c:axId val="356426464"/>
        <c:axId val="356428640"/>
      </c:barChart>
      <c:catAx>
        <c:axId val="356426464"/>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pt-BR"/>
          </a:p>
        </c:txPr>
        <c:crossAx val="356428640"/>
        <c:crosses val="autoZero"/>
        <c:auto val="1"/>
        <c:lblAlgn val="ctr"/>
        <c:lblOffset val="100"/>
        <c:noMultiLvlLbl val="0"/>
      </c:catAx>
      <c:valAx>
        <c:axId val="356428640"/>
        <c:scaling>
          <c:orientation val="minMax"/>
        </c:scaling>
        <c:delete val="1"/>
        <c:axPos val="l"/>
        <c:numFmt formatCode="&quot;R$&quot;\ #,##0.00" sourceLinked="1"/>
        <c:majorTickMark val="none"/>
        <c:minorTickMark val="none"/>
        <c:tickLblPos val="nextTo"/>
        <c:crossAx val="356426464"/>
        <c:crosses val="autoZero"/>
        <c:crossBetween val="between"/>
      </c:valAx>
      <c:spPr>
        <a:noFill/>
        <a:ln>
          <a:noFill/>
        </a:ln>
        <a:effectLst/>
      </c:spPr>
    </c:plotArea>
    <c:plotVisOnly val="1"/>
    <c:dispBlanksAs val="zero"/>
    <c:showDLblsOverMax val="0"/>
    <c:extLst/>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brigadeiros 24-02.xlsm]Gráficos!Tabela dinâmica4</c:name>
    <c:fmtId val="4"/>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Valor de Venda</a:t>
            </a:r>
          </a:p>
        </c:rich>
      </c:tx>
      <c:overlay val="0"/>
      <c:spPr>
        <a:solidFill>
          <a:srgbClr val="FFFF00"/>
        </a:solid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pt-BR"/>
        </a:p>
      </c:txPr>
    </c:title>
    <c:autoTitleDeleted val="0"/>
    <c:pivotFmts>
      <c:pivotFmt>
        <c:idx val="0"/>
        <c:spPr>
          <a:solidFill>
            <a:srgbClr val="EB3F1D"/>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7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423744322532665E-2"/>
          <c:y val="0.47447636864250331"/>
          <c:w val="0.9431524547803618"/>
          <c:h val="0.31681163694605513"/>
        </c:manualLayout>
      </c:layout>
      <c:barChart>
        <c:barDir val="col"/>
        <c:grouping val="clustered"/>
        <c:varyColors val="0"/>
        <c:ser>
          <c:idx val="0"/>
          <c:order val="0"/>
          <c:tx>
            <c:strRef>
              <c:f>Gráficos!$AG$3</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7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Gráficos!$AF$4:$AF$30</c:f>
              <c:strCache>
                <c:ptCount val="27"/>
                <c:pt idx="0">
                  <c:v>BRIGADEIRO NESCAU</c:v>
                </c:pt>
                <c:pt idx="1">
                  <c:v>(vazio)</c:v>
                </c:pt>
                <c:pt idx="2">
                  <c:v>BRIGADEIRO PAÇOCA</c:v>
                </c:pt>
                <c:pt idx="3">
                  <c:v>BRIGADEIRO NESQUIK</c:v>
                </c:pt>
                <c:pt idx="4">
                  <c:v>CAIXA 12 Un.</c:v>
                </c:pt>
                <c:pt idx="5">
                  <c:v>CAIXA 100 Un.</c:v>
                </c:pt>
                <c:pt idx="6">
                  <c:v>BRIGADEIRO LEITE NINHO C/ NUTELLA</c:v>
                </c:pt>
                <c:pt idx="7">
                  <c:v>CAIXA 8 Un.</c:v>
                </c:pt>
                <c:pt idx="8">
                  <c:v>CAIXA 30 Un.</c:v>
                </c:pt>
                <c:pt idx="9">
                  <c:v>BRIGADEIRO CHURROS</c:v>
                </c:pt>
                <c:pt idx="10">
                  <c:v>BRIGADEIRO BEIJINHO (Coco)</c:v>
                </c:pt>
                <c:pt idx="11">
                  <c:v>BRIGADEIRO AO LEITE 50%</c:v>
                </c:pt>
                <c:pt idx="12">
                  <c:v>BRIGADEIRO LEITE NINHO</c:v>
                </c:pt>
                <c:pt idx="13">
                  <c:v>BRIGADEIRO CASADINHO</c:v>
                </c:pt>
                <c:pt idx="14">
                  <c:v>BRIGADEIRO CHOCOLATE C/ MORANGO</c:v>
                </c:pt>
                <c:pt idx="15">
                  <c:v>BRIGADEIRO CHOCOBOL</c:v>
                </c:pt>
                <c:pt idx="16">
                  <c:v>BRIGADEIRO CAJUZINHO</c:v>
                </c:pt>
                <c:pt idx="17">
                  <c:v>BRIGADEIRO PRESTIGIO</c:v>
                </c:pt>
                <c:pt idx="18">
                  <c:v>BRIGADEIRO MEIO AMARGO</c:v>
                </c:pt>
                <c:pt idx="19">
                  <c:v>BRIGADEIRO CAFÉ</c:v>
                </c:pt>
                <c:pt idx="20">
                  <c:v>BRIGADEIRO M&amp;M</c:v>
                </c:pt>
                <c:pt idx="21">
                  <c:v>BRIGADEIRO NAPOLITANO</c:v>
                </c:pt>
                <c:pt idx="22">
                  <c:v>BRIGADEIRO ROMEU E JULIETA</c:v>
                </c:pt>
                <c:pt idx="23">
                  <c:v>BRIGADEIRO COCO QUEIMADO</c:v>
                </c:pt>
                <c:pt idx="24">
                  <c:v>BRIGADEIRO DE FERRERO</c:v>
                </c:pt>
                <c:pt idx="25">
                  <c:v>BRIGADEIRO FLORESTA NEGRA</c:v>
                </c:pt>
                <c:pt idx="26">
                  <c:v>BRIGADEIRO CARAMELO</c:v>
                </c:pt>
              </c:strCache>
            </c:strRef>
          </c:cat>
          <c:val>
            <c:numRef>
              <c:f>Gráficos!$AG$4:$AG$30</c:f>
              <c:numCache>
                <c:formatCode>"R$"\ #,##0.00</c:formatCode>
                <c:ptCount val="27"/>
                <c:pt idx="0">
                  <c:v>1.659596492307692</c:v>
                </c:pt>
                <c:pt idx="2">
                  <c:v>1.6594046629927939</c:v>
                </c:pt>
                <c:pt idx="3">
                  <c:v>1.6610232558139537</c:v>
                </c:pt>
                <c:pt idx="4">
                  <c:v>20.000166456647218</c:v>
                </c:pt>
                <c:pt idx="5">
                  <c:v>169.99682897253953</c:v>
                </c:pt>
                <c:pt idx="6">
                  <c:v>1.9953405405405404</c:v>
                </c:pt>
                <c:pt idx="7">
                  <c:v>13.99709877953716</c:v>
                </c:pt>
                <c:pt idx="8">
                  <c:v>49.997213562817485</c:v>
                </c:pt>
                <c:pt idx="9">
                  <c:v>1.9979224137931035</c:v>
                </c:pt>
                <c:pt idx="10">
                  <c:v>1.6604538461538461</c:v>
                </c:pt>
                <c:pt idx="11">
                  <c:v>2.0049793902439021</c:v>
                </c:pt>
                <c:pt idx="12">
                  <c:v>1.65972972972973</c:v>
                </c:pt>
                <c:pt idx="13">
                  <c:v>1.6594899408284023</c:v>
                </c:pt>
                <c:pt idx="14">
                  <c:v>1.9990685538461537</c:v>
                </c:pt>
                <c:pt idx="15">
                  <c:v>2.0028899928994082</c:v>
                </c:pt>
                <c:pt idx="16">
                  <c:v>2.001257396449704</c:v>
                </c:pt>
                <c:pt idx="17">
                  <c:v>2.0003855349432271</c:v>
                </c:pt>
                <c:pt idx="18">
                  <c:v>1.99817023668639</c:v>
                </c:pt>
                <c:pt idx="19">
                  <c:v>2.002026568047337</c:v>
                </c:pt>
                <c:pt idx="20">
                  <c:v>2.0018353491124263</c:v>
                </c:pt>
                <c:pt idx="21">
                  <c:v>1.9981088235294115</c:v>
                </c:pt>
                <c:pt idx="22">
                  <c:v>2.0013671005917155</c:v>
                </c:pt>
                <c:pt idx="23">
                  <c:v>2.001536094674556</c:v>
                </c:pt>
                <c:pt idx="24">
                  <c:v>2.0039163144547762</c:v>
                </c:pt>
                <c:pt idx="25">
                  <c:v>1.9988699547943694</c:v>
                </c:pt>
                <c:pt idx="26">
                  <c:v>1.9994558165680472</c:v>
                </c:pt>
              </c:numCache>
            </c:numRef>
          </c:val>
          <c:extLst>
            <c:ext xmlns:c16="http://schemas.microsoft.com/office/drawing/2014/chart" uri="{C3380CC4-5D6E-409C-BE32-E72D297353CC}">
              <c16:uniqueId val="{00000000-F832-4F2E-BC79-BC6B65D209B3}"/>
            </c:ext>
          </c:extLst>
        </c:ser>
        <c:dLbls>
          <c:showLegendKey val="0"/>
          <c:showVal val="0"/>
          <c:showCatName val="0"/>
          <c:showSerName val="0"/>
          <c:showPercent val="0"/>
          <c:showBubbleSize val="0"/>
        </c:dLbls>
        <c:gapWidth val="219"/>
        <c:overlap val="-27"/>
        <c:axId val="356421568"/>
        <c:axId val="356423744"/>
      </c:barChart>
      <c:catAx>
        <c:axId val="356421568"/>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pt-BR"/>
          </a:p>
        </c:txPr>
        <c:crossAx val="356423744"/>
        <c:crosses val="autoZero"/>
        <c:auto val="1"/>
        <c:lblAlgn val="ctr"/>
        <c:lblOffset val="100"/>
        <c:noMultiLvlLbl val="0"/>
      </c:catAx>
      <c:valAx>
        <c:axId val="356423744"/>
        <c:scaling>
          <c:orientation val="minMax"/>
        </c:scaling>
        <c:delete val="1"/>
        <c:axPos val="l"/>
        <c:numFmt formatCode="&quot;R$&quot;\ #,##0.00" sourceLinked="1"/>
        <c:majorTickMark val="none"/>
        <c:minorTickMark val="none"/>
        <c:tickLblPos val="nextTo"/>
        <c:crossAx val="356421568"/>
        <c:crosses val="autoZero"/>
        <c:crossBetween val="between"/>
      </c:valAx>
      <c:spPr>
        <a:noFill/>
        <a:ln>
          <a:noFill/>
        </a:ln>
        <a:effectLst/>
      </c:spPr>
    </c:plotArea>
    <c:plotVisOnly val="1"/>
    <c:dispBlanksAs val="zero"/>
    <c:showDLblsOverMax val="0"/>
    <c:extLst/>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brigadeiros 24-02.xlsm]Gráficos!Tabela dinâmica5</c:name>
    <c:fmtId val="5"/>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Lucro</a:t>
            </a:r>
          </a:p>
        </c:rich>
      </c:tx>
      <c:overlay val="0"/>
      <c:spPr>
        <a:solidFill>
          <a:srgbClr val="FFFF00"/>
        </a:solid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pt-BR"/>
        </a:p>
      </c:txPr>
    </c:title>
    <c:autoTitleDeleted val="0"/>
    <c:pivotFmts>
      <c:pivotFmt>
        <c:idx val="0"/>
        <c:spPr>
          <a:solidFill>
            <a:srgbClr val="EB3F1D"/>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7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58640036216212E-2"/>
          <c:y val="0.38448613683045957"/>
          <c:w val="0.93088281495444547"/>
          <c:h val="0.41411375054523825"/>
        </c:manualLayout>
      </c:layout>
      <c:barChart>
        <c:barDir val="col"/>
        <c:grouping val="clustered"/>
        <c:varyColors val="0"/>
        <c:ser>
          <c:idx val="0"/>
          <c:order val="0"/>
          <c:tx>
            <c:strRef>
              <c:f>Gráficos!$AM$3</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anchor="ctr" anchorCtr="1"/>
              <a:lstStyle/>
              <a:p>
                <a:pPr>
                  <a:defRPr sz="7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Gráficos!$AL$4:$AL$30</c:f>
              <c:strCache>
                <c:ptCount val="27"/>
                <c:pt idx="0">
                  <c:v>BRIGADEIRO NESCAU</c:v>
                </c:pt>
                <c:pt idx="1">
                  <c:v>(vazio)</c:v>
                </c:pt>
                <c:pt idx="2">
                  <c:v>BRIGADEIRO PAÇOCA</c:v>
                </c:pt>
                <c:pt idx="3">
                  <c:v>BRIGADEIRO NESQUIK</c:v>
                </c:pt>
                <c:pt idx="4">
                  <c:v>CAIXA 12 Un.</c:v>
                </c:pt>
                <c:pt idx="5">
                  <c:v>CAIXA 100 Un.</c:v>
                </c:pt>
                <c:pt idx="6">
                  <c:v>BRIGADEIRO LEITE NINHO C/ NUTELLA</c:v>
                </c:pt>
                <c:pt idx="7">
                  <c:v>CAIXA 8 Un.</c:v>
                </c:pt>
                <c:pt idx="8">
                  <c:v>CAIXA 30 Un.</c:v>
                </c:pt>
                <c:pt idx="9">
                  <c:v>BRIGADEIRO CHURROS</c:v>
                </c:pt>
                <c:pt idx="10">
                  <c:v>BRIGADEIRO BEIJINHO (Coco)</c:v>
                </c:pt>
                <c:pt idx="11">
                  <c:v>BRIGADEIRO AO LEITE 50%</c:v>
                </c:pt>
                <c:pt idx="12">
                  <c:v>BRIGADEIRO LEITE NINHO</c:v>
                </c:pt>
                <c:pt idx="13">
                  <c:v>BRIGADEIRO CASADINHO</c:v>
                </c:pt>
                <c:pt idx="14">
                  <c:v>BRIGADEIRO CHOCOLATE C/ MORANGO</c:v>
                </c:pt>
                <c:pt idx="15">
                  <c:v>BRIGADEIRO CHOCOBOL</c:v>
                </c:pt>
                <c:pt idx="16">
                  <c:v>BRIGADEIRO CAJUZINHO</c:v>
                </c:pt>
                <c:pt idx="17">
                  <c:v>BRIGADEIRO PRESTIGIO</c:v>
                </c:pt>
                <c:pt idx="18">
                  <c:v>BRIGADEIRO MEIO AMARGO</c:v>
                </c:pt>
                <c:pt idx="19">
                  <c:v>BRIGADEIRO CAFÉ</c:v>
                </c:pt>
                <c:pt idx="20">
                  <c:v>BRIGADEIRO M&amp;M</c:v>
                </c:pt>
                <c:pt idx="21">
                  <c:v>BRIGADEIRO NAPOLITANO</c:v>
                </c:pt>
                <c:pt idx="22">
                  <c:v>BRIGADEIRO ROMEU E JULIETA</c:v>
                </c:pt>
                <c:pt idx="23">
                  <c:v>BRIGADEIRO COCO QUEIMADO</c:v>
                </c:pt>
                <c:pt idx="24">
                  <c:v>BRIGADEIRO DE FERRERO</c:v>
                </c:pt>
                <c:pt idx="25">
                  <c:v>BRIGADEIRO FLORESTA NEGRA</c:v>
                </c:pt>
                <c:pt idx="26">
                  <c:v>BRIGADEIRO CARAMELO</c:v>
                </c:pt>
              </c:strCache>
            </c:strRef>
          </c:cat>
          <c:val>
            <c:numRef>
              <c:f>Gráficos!$AM$4:$AM$30</c:f>
              <c:numCache>
                <c:formatCode>"R$"\ #,##0.00</c:formatCode>
                <c:ptCount val="27"/>
                <c:pt idx="0">
                  <c:v>17.062387466666664</c:v>
                </c:pt>
                <c:pt idx="2">
                  <c:v>15.986314285714288</c:v>
                </c:pt>
                <c:pt idx="3">
                  <c:v>18.517333333333333</c:v>
                </c:pt>
                <c:pt idx="4">
                  <c:v>8.251150209185985</c:v>
                </c:pt>
                <c:pt idx="5">
                  <c:v>81.377963206856933</c:v>
                </c:pt>
                <c:pt idx="6">
                  <c:v>19.082000000000001</c:v>
                </c:pt>
                <c:pt idx="7">
                  <c:v>6.7506240667792738</c:v>
                </c:pt>
                <c:pt idx="8">
                  <c:v>22.811553833112708</c:v>
                </c:pt>
                <c:pt idx="9">
                  <c:v>24.580500000000001</c:v>
                </c:pt>
                <c:pt idx="10">
                  <c:v>22.451499999999999</c:v>
                </c:pt>
                <c:pt idx="11">
                  <c:v>17.990808333333334</c:v>
                </c:pt>
                <c:pt idx="12">
                  <c:v>19.283333333333335</c:v>
                </c:pt>
                <c:pt idx="13">
                  <c:v>18.284866666666666</c:v>
                </c:pt>
                <c:pt idx="14">
                  <c:v>19.490918399999998</c:v>
                </c:pt>
                <c:pt idx="15">
                  <c:v>22.505476533333333</c:v>
                </c:pt>
                <c:pt idx="16">
                  <c:v>22.547500000000003</c:v>
                </c:pt>
                <c:pt idx="17">
                  <c:v>23.388155405405406</c:v>
                </c:pt>
                <c:pt idx="18">
                  <c:v>10.527529999999999</c:v>
                </c:pt>
                <c:pt idx="19">
                  <c:v>23.022443333333332</c:v>
                </c:pt>
                <c:pt idx="20">
                  <c:v>22.963552666666672</c:v>
                </c:pt>
                <c:pt idx="21">
                  <c:v>50.554587254901946</c:v>
                </c:pt>
                <c:pt idx="22">
                  <c:v>20.803893333333328</c:v>
                </c:pt>
                <c:pt idx="23">
                  <c:v>17.377733333333328</c:v>
                </c:pt>
                <c:pt idx="24">
                  <c:v>21.616714285714288</c:v>
                </c:pt>
                <c:pt idx="25">
                  <c:v>16.565433126293996</c:v>
                </c:pt>
                <c:pt idx="26">
                  <c:v>25.848970333333334</c:v>
                </c:pt>
              </c:numCache>
            </c:numRef>
          </c:val>
          <c:extLst>
            <c:ext xmlns:c16="http://schemas.microsoft.com/office/drawing/2014/chart" uri="{C3380CC4-5D6E-409C-BE32-E72D297353CC}">
              <c16:uniqueId val="{00000000-098E-4CF0-8322-4940BDABA6A3}"/>
            </c:ext>
          </c:extLst>
        </c:ser>
        <c:dLbls>
          <c:showLegendKey val="0"/>
          <c:showVal val="0"/>
          <c:showCatName val="0"/>
          <c:showSerName val="0"/>
          <c:showPercent val="0"/>
          <c:showBubbleSize val="0"/>
        </c:dLbls>
        <c:gapWidth val="219"/>
        <c:overlap val="-27"/>
        <c:axId val="356422656"/>
        <c:axId val="356424288"/>
      </c:barChart>
      <c:catAx>
        <c:axId val="356422656"/>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pt-BR"/>
          </a:p>
        </c:txPr>
        <c:crossAx val="356424288"/>
        <c:crosses val="autoZero"/>
        <c:auto val="1"/>
        <c:lblAlgn val="ctr"/>
        <c:lblOffset val="100"/>
        <c:noMultiLvlLbl val="0"/>
      </c:catAx>
      <c:valAx>
        <c:axId val="356424288"/>
        <c:scaling>
          <c:orientation val="minMax"/>
        </c:scaling>
        <c:delete val="1"/>
        <c:axPos val="l"/>
        <c:numFmt formatCode="&quot;R$&quot;\ #,##0.00" sourceLinked="1"/>
        <c:majorTickMark val="none"/>
        <c:minorTickMark val="none"/>
        <c:tickLblPos val="nextTo"/>
        <c:crossAx val="35642265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brigadeiros 24-02.xlsm]Gráficos!Tabela dinâmica28</c:name>
    <c:fmtId val="3"/>
  </c:pivotSource>
  <c:chart>
    <c:title>
      <c:tx>
        <c:rich>
          <a:bodyPr rot="0" spcFirstLastPara="1" vertOverflow="ellipsis" vert="horz" wrap="square" anchor="ctr" anchorCtr="1"/>
          <a:lstStyle/>
          <a:p>
            <a:pPr>
              <a:defRPr lang="en-US" sz="1200" b="1" i="0" u="none" strike="noStrike" kern="1200" spc="0" baseline="0">
                <a:solidFill>
                  <a:schemeClr val="accent2">
                    <a:lumMod val="50000"/>
                  </a:schemeClr>
                </a:solidFill>
                <a:latin typeface="+mn-lt"/>
                <a:ea typeface="+mn-ea"/>
                <a:cs typeface="+mn-cs"/>
              </a:defRPr>
            </a:pPr>
            <a:r>
              <a:rPr lang="en-US" b="1">
                <a:solidFill>
                  <a:schemeClr val="accent2">
                    <a:lumMod val="50000"/>
                  </a:schemeClr>
                </a:solidFill>
              </a:rPr>
              <a:t>Valores de vendas</a:t>
            </a:r>
            <a:r>
              <a:rPr lang="en-US" b="1" baseline="0">
                <a:solidFill>
                  <a:schemeClr val="accent2">
                    <a:lumMod val="50000"/>
                  </a:schemeClr>
                </a:solidFill>
              </a:rPr>
              <a:t> por clientes</a:t>
            </a:r>
            <a:endParaRPr lang="en-US" b="1">
              <a:solidFill>
                <a:schemeClr val="accent2">
                  <a:lumMod val="50000"/>
                </a:schemeClr>
              </a:solidFill>
            </a:endParaRPr>
          </a:p>
        </c:rich>
      </c:tx>
      <c:overlay val="0"/>
      <c:spPr>
        <a:solidFill>
          <a:srgbClr val="FFFF00"/>
        </a:solidFill>
        <a:ln>
          <a:noFill/>
        </a:ln>
        <a:effectLst/>
      </c:spPr>
      <c:txPr>
        <a:bodyPr rot="0" spcFirstLastPara="1" vertOverflow="ellipsis" vert="horz" wrap="square" anchor="ctr" anchorCtr="1"/>
        <a:lstStyle/>
        <a:p>
          <a:pPr>
            <a:defRPr lang="en-US" sz="1200" b="1" i="0" u="none" strike="noStrike" kern="1200" spc="0" baseline="0">
              <a:solidFill>
                <a:schemeClr val="accent2">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7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098299317010269E-2"/>
          <c:y val="0.34276025912293656"/>
          <c:w val="0.92633925334788625"/>
          <c:h val="0.33609376136960201"/>
        </c:manualLayout>
      </c:layout>
      <c:barChart>
        <c:barDir val="col"/>
        <c:grouping val="clustered"/>
        <c:varyColors val="0"/>
        <c:ser>
          <c:idx val="0"/>
          <c:order val="0"/>
          <c:tx>
            <c:strRef>
              <c:f>Gráficos!$AS$3</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lang="en-US" sz="7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Gráficos!$AR$4:$AR$49</c:f>
              <c:strCache>
                <c:ptCount val="46"/>
                <c:pt idx="0">
                  <c:v>Vivian</c:v>
                </c:pt>
                <c:pt idx="1">
                  <c:v>Paloma</c:v>
                </c:pt>
                <c:pt idx="2">
                  <c:v>Juliana</c:v>
                </c:pt>
                <c:pt idx="3">
                  <c:v>Rosimar</c:v>
                </c:pt>
                <c:pt idx="4">
                  <c:v>Eliane</c:v>
                </c:pt>
                <c:pt idx="5">
                  <c:v>Renata</c:v>
                </c:pt>
                <c:pt idx="6">
                  <c:v>Marcia</c:v>
                </c:pt>
                <c:pt idx="7">
                  <c:v>Carol</c:v>
                </c:pt>
                <c:pt idx="8">
                  <c:v>Ivone</c:v>
                </c:pt>
                <c:pt idx="9">
                  <c:v>Andreia</c:v>
                </c:pt>
                <c:pt idx="10">
                  <c:v>Mulher</c:v>
                </c:pt>
                <c:pt idx="11">
                  <c:v>Fabiola</c:v>
                </c:pt>
                <c:pt idx="12">
                  <c:v>Greice</c:v>
                </c:pt>
                <c:pt idx="13">
                  <c:v>Luane</c:v>
                </c:pt>
                <c:pt idx="14">
                  <c:v>Gilmara</c:v>
                </c:pt>
                <c:pt idx="15">
                  <c:v>Dilma</c:v>
                </c:pt>
                <c:pt idx="16">
                  <c:v>Cassia</c:v>
                </c:pt>
                <c:pt idx="17">
                  <c:v>Deisiane</c:v>
                </c:pt>
                <c:pt idx="18">
                  <c:v>Vania</c:v>
                </c:pt>
                <c:pt idx="19">
                  <c:v>Juliana (cassi)</c:v>
                </c:pt>
                <c:pt idx="20">
                  <c:v>Luana</c:v>
                </c:pt>
                <c:pt idx="21">
                  <c:v>Vitor e Elo</c:v>
                </c:pt>
                <c:pt idx="22">
                  <c:v>Dieni</c:v>
                </c:pt>
                <c:pt idx="23">
                  <c:v>Franciele</c:v>
                </c:pt>
                <c:pt idx="24">
                  <c:v>Kaue</c:v>
                </c:pt>
                <c:pt idx="25">
                  <c:v>Patricia</c:v>
                </c:pt>
                <c:pt idx="26">
                  <c:v>Rosangela</c:v>
                </c:pt>
                <c:pt idx="27">
                  <c:v>Dari</c:v>
                </c:pt>
                <c:pt idx="28">
                  <c:v>Noca</c:v>
                </c:pt>
                <c:pt idx="29">
                  <c:v>Lgferrari</c:v>
                </c:pt>
                <c:pt idx="30">
                  <c:v>Sandra</c:v>
                </c:pt>
                <c:pt idx="31">
                  <c:v>Desconhecida</c:v>
                </c:pt>
                <c:pt idx="32">
                  <c:v>Dani</c:v>
                </c:pt>
                <c:pt idx="33">
                  <c:v>Marisa</c:v>
                </c:pt>
                <c:pt idx="34">
                  <c:v>Vitoria</c:v>
                </c:pt>
                <c:pt idx="35">
                  <c:v>Odete</c:v>
                </c:pt>
                <c:pt idx="36">
                  <c:v>Karina</c:v>
                </c:pt>
                <c:pt idx="37">
                  <c:v>Gisa</c:v>
                </c:pt>
                <c:pt idx="38">
                  <c:v>Cheila</c:v>
                </c:pt>
                <c:pt idx="39">
                  <c:v>Gabriela</c:v>
                </c:pt>
                <c:pt idx="40">
                  <c:v>Mulher dos Cilios</c:v>
                </c:pt>
                <c:pt idx="41">
                  <c:v>Zoca (Flavia)</c:v>
                </c:pt>
                <c:pt idx="42">
                  <c:v>Homem</c:v>
                </c:pt>
                <c:pt idx="43">
                  <c:v>Aline</c:v>
                </c:pt>
                <c:pt idx="44">
                  <c:v>Liara</c:v>
                </c:pt>
                <c:pt idx="45">
                  <c:v>Joira</c:v>
                </c:pt>
              </c:strCache>
            </c:strRef>
          </c:cat>
          <c:val>
            <c:numRef>
              <c:f>Gráficos!$AS$4:$AS$49</c:f>
              <c:numCache>
                <c:formatCode>"R$"\ #,##0.00</c:formatCode>
                <c:ptCount val="46"/>
                <c:pt idx="0">
                  <c:v>535</c:v>
                </c:pt>
                <c:pt idx="1">
                  <c:v>511.00049936994162</c:v>
                </c:pt>
                <c:pt idx="2">
                  <c:v>441.00033291329441</c:v>
                </c:pt>
                <c:pt idx="3">
                  <c:v>210</c:v>
                </c:pt>
                <c:pt idx="4">
                  <c:v>180</c:v>
                </c:pt>
                <c:pt idx="5">
                  <c:v>160</c:v>
                </c:pt>
                <c:pt idx="6">
                  <c:v>120.00016645664722</c:v>
                </c:pt>
                <c:pt idx="7">
                  <c:v>110</c:v>
                </c:pt>
                <c:pt idx="8">
                  <c:v>105</c:v>
                </c:pt>
                <c:pt idx="9">
                  <c:v>80.000166456647221</c:v>
                </c:pt>
                <c:pt idx="10">
                  <c:v>80</c:v>
                </c:pt>
                <c:pt idx="11">
                  <c:v>70.000166456647221</c:v>
                </c:pt>
                <c:pt idx="12">
                  <c:v>70</c:v>
                </c:pt>
                <c:pt idx="13">
                  <c:v>70</c:v>
                </c:pt>
                <c:pt idx="14">
                  <c:v>65.000166456647221</c:v>
                </c:pt>
                <c:pt idx="15">
                  <c:v>60.000332913294436</c:v>
                </c:pt>
                <c:pt idx="16">
                  <c:v>60</c:v>
                </c:pt>
                <c:pt idx="17">
                  <c:v>60</c:v>
                </c:pt>
                <c:pt idx="18">
                  <c:v>60</c:v>
                </c:pt>
                <c:pt idx="19">
                  <c:v>60</c:v>
                </c:pt>
                <c:pt idx="20">
                  <c:v>60</c:v>
                </c:pt>
                <c:pt idx="21">
                  <c:v>50</c:v>
                </c:pt>
                <c:pt idx="22">
                  <c:v>50</c:v>
                </c:pt>
                <c:pt idx="23">
                  <c:v>50</c:v>
                </c:pt>
                <c:pt idx="24">
                  <c:v>50</c:v>
                </c:pt>
                <c:pt idx="25">
                  <c:v>50</c:v>
                </c:pt>
                <c:pt idx="26">
                  <c:v>40</c:v>
                </c:pt>
                <c:pt idx="27">
                  <c:v>40</c:v>
                </c:pt>
                <c:pt idx="28">
                  <c:v>40</c:v>
                </c:pt>
                <c:pt idx="29">
                  <c:v>40</c:v>
                </c:pt>
                <c:pt idx="30">
                  <c:v>40</c:v>
                </c:pt>
                <c:pt idx="31">
                  <c:v>40</c:v>
                </c:pt>
                <c:pt idx="32">
                  <c:v>20</c:v>
                </c:pt>
                <c:pt idx="33">
                  <c:v>20</c:v>
                </c:pt>
                <c:pt idx="34">
                  <c:v>20</c:v>
                </c:pt>
                <c:pt idx="35">
                  <c:v>20</c:v>
                </c:pt>
                <c:pt idx="36">
                  <c:v>20</c:v>
                </c:pt>
                <c:pt idx="37">
                  <c:v>20</c:v>
                </c:pt>
                <c:pt idx="38">
                  <c:v>20</c:v>
                </c:pt>
                <c:pt idx="39">
                  <c:v>20</c:v>
                </c:pt>
                <c:pt idx="40">
                  <c:v>20</c:v>
                </c:pt>
                <c:pt idx="41">
                  <c:v>20</c:v>
                </c:pt>
                <c:pt idx="42">
                  <c:v>20</c:v>
                </c:pt>
                <c:pt idx="43">
                  <c:v>20</c:v>
                </c:pt>
                <c:pt idx="44">
                  <c:v>16</c:v>
                </c:pt>
                <c:pt idx="45">
                  <c:v>8</c:v>
                </c:pt>
              </c:numCache>
            </c:numRef>
          </c:val>
          <c:extLst>
            <c:ext xmlns:c16="http://schemas.microsoft.com/office/drawing/2014/chart" uri="{C3380CC4-5D6E-409C-BE32-E72D297353CC}">
              <c16:uniqueId val="{00000003-794D-411E-ADF0-1B5EEE251793}"/>
            </c:ext>
          </c:extLst>
        </c:ser>
        <c:dLbls>
          <c:showLegendKey val="0"/>
          <c:showVal val="0"/>
          <c:showCatName val="0"/>
          <c:showSerName val="0"/>
          <c:showPercent val="0"/>
          <c:showBubbleSize val="0"/>
        </c:dLbls>
        <c:gapWidth val="219"/>
        <c:overlap val="-27"/>
        <c:axId val="356424832"/>
        <c:axId val="352584544"/>
      </c:barChart>
      <c:catAx>
        <c:axId val="356424832"/>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mn-lt"/>
                <a:ea typeface="+mn-ea"/>
                <a:cs typeface="+mn-cs"/>
              </a:defRPr>
            </a:pPr>
            <a:endParaRPr lang="pt-BR"/>
          </a:p>
        </c:txPr>
        <c:crossAx val="352584544"/>
        <c:crosses val="autoZero"/>
        <c:auto val="1"/>
        <c:lblAlgn val="ctr"/>
        <c:lblOffset val="100"/>
        <c:noMultiLvlLbl val="0"/>
      </c:catAx>
      <c:valAx>
        <c:axId val="352584544"/>
        <c:scaling>
          <c:orientation val="minMax"/>
        </c:scaling>
        <c:delete val="1"/>
        <c:axPos val="l"/>
        <c:numFmt formatCode="&quot;R$&quot;\ #,##0.00" sourceLinked="1"/>
        <c:majorTickMark val="none"/>
        <c:minorTickMark val="none"/>
        <c:tickLblPos val="nextTo"/>
        <c:crossAx val="356424832"/>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ysClr val="windowText" lastClr="000000"/>
          </a:solidFill>
          <a:latin typeface="+mn-lt"/>
          <a:ea typeface="+mn-ea"/>
          <a:cs typeface="+mn-cs"/>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brigadeiros 24-02.xlsm]Gráficos!Tabela dinâmica29</c:name>
    <c:fmtId val="2"/>
  </c:pivotSource>
  <c:chart>
    <c:title>
      <c:tx>
        <c:rich>
          <a:bodyPr rot="0" spcFirstLastPara="1" vertOverflow="ellipsis" vert="horz" wrap="square" anchor="ctr" anchorCtr="1"/>
          <a:lstStyle/>
          <a:p>
            <a:pPr algn="ctr" rtl="0">
              <a:defRPr lang="en-US" sz="1200" b="1" i="0" u="none" strike="noStrike" kern="1200" spc="0" baseline="0">
                <a:solidFill>
                  <a:schemeClr val="accent2">
                    <a:lumMod val="50000"/>
                  </a:schemeClr>
                </a:solidFill>
                <a:latin typeface="+mn-lt"/>
                <a:ea typeface="+mn-ea"/>
                <a:cs typeface="+mn-cs"/>
              </a:defRPr>
            </a:pPr>
            <a:r>
              <a:rPr lang="en-US" sz="1200" b="1" i="0" u="none" strike="noStrike" kern="1200" spc="0" baseline="0">
                <a:solidFill>
                  <a:schemeClr val="accent2">
                    <a:lumMod val="50000"/>
                  </a:schemeClr>
                </a:solidFill>
                <a:latin typeface="+mn-lt"/>
                <a:ea typeface="+mn-ea"/>
                <a:cs typeface="+mn-cs"/>
              </a:rPr>
              <a:t>Vendas por clientes</a:t>
            </a:r>
          </a:p>
        </c:rich>
      </c:tx>
      <c:overlay val="0"/>
      <c:spPr>
        <a:solidFill>
          <a:srgbClr val="FFFF00"/>
        </a:solidFill>
        <a:ln>
          <a:noFill/>
        </a:ln>
        <a:effectLst/>
      </c:spPr>
      <c:txPr>
        <a:bodyPr rot="0" spcFirstLastPara="1" vertOverflow="ellipsis" vert="horz" wrap="square" anchor="ctr" anchorCtr="1"/>
        <a:lstStyle/>
        <a:p>
          <a:pPr algn="ctr" rtl="0">
            <a:defRPr lang="en-US" sz="1200" b="1" i="0" u="none" strike="noStrike" kern="1200" spc="0" baseline="0">
              <a:solidFill>
                <a:schemeClr val="accent2">
                  <a:lumMod val="50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247800599402247E-2"/>
          <c:y val="0.33151041666666664"/>
          <c:w val="0.89080926336125976"/>
          <c:h val="0.42279240485564307"/>
        </c:manualLayout>
      </c:layout>
      <c:barChart>
        <c:barDir val="col"/>
        <c:grouping val="clustered"/>
        <c:varyColors val="0"/>
        <c:ser>
          <c:idx val="0"/>
          <c:order val="0"/>
          <c:tx>
            <c:strRef>
              <c:f>Gráficos!$AV$3</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Gráficos!$AU$4:$AU$49</c:f>
              <c:strCache>
                <c:ptCount val="46"/>
                <c:pt idx="0">
                  <c:v>Paloma</c:v>
                </c:pt>
                <c:pt idx="1">
                  <c:v>Juliana</c:v>
                </c:pt>
                <c:pt idx="2">
                  <c:v>Vivian</c:v>
                </c:pt>
                <c:pt idx="3">
                  <c:v>Eliane</c:v>
                </c:pt>
                <c:pt idx="4">
                  <c:v>Marcia</c:v>
                </c:pt>
                <c:pt idx="5">
                  <c:v>Ivone</c:v>
                </c:pt>
                <c:pt idx="6">
                  <c:v>Renata</c:v>
                </c:pt>
                <c:pt idx="7">
                  <c:v>Carol</c:v>
                </c:pt>
                <c:pt idx="8">
                  <c:v>Luane</c:v>
                </c:pt>
                <c:pt idx="9">
                  <c:v>Mulher</c:v>
                </c:pt>
                <c:pt idx="10">
                  <c:v>Andreia</c:v>
                </c:pt>
                <c:pt idx="11">
                  <c:v>Juliana (cassi)</c:v>
                </c:pt>
                <c:pt idx="12">
                  <c:v>Vania</c:v>
                </c:pt>
                <c:pt idx="13">
                  <c:v>Deisiane</c:v>
                </c:pt>
                <c:pt idx="14">
                  <c:v>Dilma</c:v>
                </c:pt>
                <c:pt idx="15">
                  <c:v>Greice</c:v>
                </c:pt>
                <c:pt idx="16">
                  <c:v>Cassia</c:v>
                </c:pt>
                <c:pt idx="17">
                  <c:v>Luana</c:v>
                </c:pt>
                <c:pt idx="18">
                  <c:v>Patricia</c:v>
                </c:pt>
                <c:pt idx="19">
                  <c:v>Rosangela</c:v>
                </c:pt>
                <c:pt idx="20">
                  <c:v>Vitor e Elo</c:v>
                </c:pt>
                <c:pt idx="21">
                  <c:v>Gilmara</c:v>
                </c:pt>
                <c:pt idx="22">
                  <c:v>Fabiola</c:v>
                </c:pt>
                <c:pt idx="23">
                  <c:v>Noca</c:v>
                </c:pt>
                <c:pt idx="24">
                  <c:v>Sandra</c:v>
                </c:pt>
                <c:pt idx="25">
                  <c:v>Desconhecida</c:v>
                </c:pt>
                <c:pt idx="26">
                  <c:v>Dari</c:v>
                </c:pt>
                <c:pt idx="27">
                  <c:v>Lgferrari</c:v>
                </c:pt>
                <c:pt idx="28">
                  <c:v>Liara</c:v>
                </c:pt>
                <c:pt idx="29">
                  <c:v>Karina</c:v>
                </c:pt>
                <c:pt idx="30">
                  <c:v>Zoca (Flavia)</c:v>
                </c:pt>
                <c:pt idx="31">
                  <c:v>Joira</c:v>
                </c:pt>
                <c:pt idx="32">
                  <c:v>Franciele</c:v>
                </c:pt>
                <c:pt idx="33">
                  <c:v>Rosimar</c:v>
                </c:pt>
                <c:pt idx="34">
                  <c:v>Dani</c:v>
                </c:pt>
                <c:pt idx="35">
                  <c:v>Odete</c:v>
                </c:pt>
                <c:pt idx="36">
                  <c:v>Marisa</c:v>
                </c:pt>
                <c:pt idx="37">
                  <c:v>Homem</c:v>
                </c:pt>
                <c:pt idx="38">
                  <c:v>Vitoria</c:v>
                </c:pt>
                <c:pt idx="39">
                  <c:v>Mulher dos Cilios</c:v>
                </c:pt>
                <c:pt idx="40">
                  <c:v>Dieni</c:v>
                </c:pt>
                <c:pt idx="41">
                  <c:v>Gabriela</c:v>
                </c:pt>
                <c:pt idx="42">
                  <c:v>Gisa</c:v>
                </c:pt>
                <c:pt idx="43">
                  <c:v>Kaue</c:v>
                </c:pt>
                <c:pt idx="44">
                  <c:v>Cheila</c:v>
                </c:pt>
                <c:pt idx="45">
                  <c:v>Aline</c:v>
                </c:pt>
              </c:strCache>
            </c:strRef>
          </c:cat>
          <c:val>
            <c:numRef>
              <c:f>Gráficos!$AV$4:$AV$49</c:f>
              <c:numCache>
                <c:formatCode>General</c:formatCode>
                <c:ptCount val="46"/>
                <c:pt idx="0">
                  <c:v>12</c:v>
                </c:pt>
                <c:pt idx="1">
                  <c:v>10</c:v>
                </c:pt>
                <c:pt idx="2">
                  <c:v>6.5</c:v>
                </c:pt>
                <c:pt idx="3">
                  <c:v>6</c:v>
                </c:pt>
                <c:pt idx="4">
                  <c:v>6</c:v>
                </c:pt>
                <c:pt idx="5">
                  <c:v>5</c:v>
                </c:pt>
                <c:pt idx="6">
                  <c:v>5</c:v>
                </c:pt>
                <c:pt idx="7">
                  <c:v>4</c:v>
                </c:pt>
                <c:pt idx="8">
                  <c:v>4</c:v>
                </c:pt>
                <c:pt idx="9">
                  <c:v>4</c:v>
                </c:pt>
                <c:pt idx="10">
                  <c:v>4</c:v>
                </c:pt>
                <c:pt idx="11">
                  <c:v>3</c:v>
                </c:pt>
                <c:pt idx="12">
                  <c:v>3</c:v>
                </c:pt>
                <c:pt idx="13">
                  <c:v>3</c:v>
                </c:pt>
                <c:pt idx="14">
                  <c:v>3</c:v>
                </c:pt>
                <c:pt idx="15">
                  <c:v>3</c:v>
                </c:pt>
                <c:pt idx="16">
                  <c:v>3</c:v>
                </c:pt>
                <c:pt idx="17">
                  <c:v>3</c:v>
                </c:pt>
                <c:pt idx="18">
                  <c:v>2</c:v>
                </c:pt>
                <c:pt idx="19">
                  <c:v>2</c:v>
                </c:pt>
                <c:pt idx="20">
                  <c:v>2</c:v>
                </c:pt>
                <c:pt idx="21">
                  <c:v>2</c:v>
                </c:pt>
                <c:pt idx="22">
                  <c:v>2</c:v>
                </c:pt>
                <c:pt idx="23">
                  <c:v>2</c:v>
                </c:pt>
                <c:pt idx="24">
                  <c:v>2</c:v>
                </c:pt>
                <c:pt idx="25">
                  <c:v>2</c:v>
                </c:pt>
                <c:pt idx="26">
                  <c:v>2</c:v>
                </c:pt>
                <c:pt idx="27">
                  <c:v>2</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numCache>
            </c:numRef>
          </c:val>
          <c:extLst>
            <c:ext xmlns:c16="http://schemas.microsoft.com/office/drawing/2014/chart" uri="{C3380CC4-5D6E-409C-BE32-E72D297353CC}">
              <c16:uniqueId val="{00000003-06EC-4A7F-9555-2A3E19ADD79B}"/>
            </c:ext>
          </c:extLst>
        </c:ser>
        <c:dLbls>
          <c:showLegendKey val="0"/>
          <c:showVal val="0"/>
          <c:showCatName val="0"/>
          <c:showSerName val="0"/>
          <c:showPercent val="0"/>
          <c:showBubbleSize val="0"/>
        </c:dLbls>
        <c:gapWidth val="219"/>
        <c:overlap val="-27"/>
        <c:axId val="352585088"/>
        <c:axId val="352582368"/>
      </c:barChart>
      <c:catAx>
        <c:axId val="352585088"/>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352582368"/>
        <c:crosses val="autoZero"/>
        <c:auto val="1"/>
        <c:lblAlgn val="ctr"/>
        <c:lblOffset val="100"/>
        <c:noMultiLvlLbl val="0"/>
      </c:catAx>
      <c:valAx>
        <c:axId val="352582368"/>
        <c:scaling>
          <c:orientation val="minMax"/>
        </c:scaling>
        <c:delete val="1"/>
        <c:axPos val="l"/>
        <c:numFmt formatCode="General" sourceLinked="1"/>
        <c:majorTickMark val="none"/>
        <c:minorTickMark val="none"/>
        <c:tickLblPos val="nextTo"/>
        <c:crossAx val="35258508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brigadeiros 24-02.xlsm]Gráficos!Tabela dinâmica7</c:name>
    <c:fmtId val="14"/>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Rendimento por massa (unidades)</a:t>
            </a:r>
          </a:p>
        </c:rich>
      </c:tx>
      <c:overlay val="0"/>
      <c:spPr>
        <a:solidFill>
          <a:srgbClr val="FFFF00"/>
        </a:solid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pt-BR"/>
        </a:p>
      </c:txPr>
    </c:title>
    <c:autoTitleDeleted val="0"/>
    <c:pivotFmts>
      <c:pivotFmt>
        <c:idx val="0"/>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338146741224138"/>
          <c:y val="0.43609739755679833"/>
          <c:w val="0.41947568778621491"/>
          <c:h val="0.48537794418285179"/>
        </c:manualLayout>
      </c:layout>
      <c:barChart>
        <c:barDir val="bar"/>
        <c:grouping val="clustered"/>
        <c:varyColors val="0"/>
        <c:ser>
          <c:idx val="0"/>
          <c:order val="0"/>
          <c:tx>
            <c:strRef>
              <c:f>Gráficos!$X$3</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Gráficos!$W$4:$W$30</c:f>
              <c:strCache>
                <c:ptCount val="27"/>
                <c:pt idx="0">
                  <c:v>BRIGADEIRO NESCAU</c:v>
                </c:pt>
                <c:pt idx="1">
                  <c:v>(vazio)</c:v>
                </c:pt>
                <c:pt idx="2">
                  <c:v>BRIGADEIRO PAÇOCA</c:v>
                </c:pt>
                <c:pt idx="3">
                  <c:v>BRIGADEIRO NESQUIK</c:v>
                </c:pt>
                <c:pt idx="4">
                  <c:v>CAIXA 12 Un.</c:v>
                </c:pt>
                <c:pt idx="5">
                  <c:v>CAIXA 100 Un.</c:v>
                </c:pt>
                <c:pt idx="6">
                  <c:v>BRIGADEIRO LEITE NINHO C/ NUTELLA</c:v>
                </c:pt>
                <c:pt idx="7">
                  <c:v>CAIXA 8 Un.</c:v>
                </c:pt>
                <c:pt idx="8">
                  <c:v>CAIXA 30 Un.</c:v>
                </c:pt>
                <c:pt idx="9">
                  <c:v>BRIGADEIRO CHURROS</c:v>
                </c:pt>
                <c:pt idx="10">
                  <c:v>BRIGADEIRO BEIJINHO (Coco)</c:v>
                </c:pt>
                <c:pt idx="11">
                  <c:v>BRIGADEIRO AO LEITE 50%</c:v>
                </c:pt>
                <c:pt idx="12">
                  <c:v>BRIGADEIRO LEITE NINHO</c:v>
                </c:pt>
                <c:pt idx="13">
                  <c:v>BRIGADEIRO CASADINHO</c:v>
                </c:pt>
                <c:pt idx="14">
                  <c:v>BRIGADEIRO CHOCOLATE C/ MORANGO</c:v>
                </c:pt>
                <c:pt idx="15">
                  <c:v>BRIGADEIRO CHOCOBOL</c:v>
                </c:pt>
                <c:pt idx="16">
                  <c:v>BRIGADEIRO CAJUZINHO</c:v>
                </c:pt>
                <c:pt idx="17">
                  <c:v>BRIGADEIRO PRESTIGIO</c:v>
                </c:pt>
                <c:pt idx="18">
                  <c:v>BRIGADEIRO MEIO AMARGO</c:v>
                </c:pt>
                <c:pt idx="19">
                  <c:v>BRIGADEIRO CAFÉ</c:v>
                </c:pt>
                <c:pt idx="20">
                  <c:v>BRIGADEIRO M&amp;M</c:v>
                </c:pt>
                <c:pt idx="21">
                  <c:v>BRIGADEIRO NAPOLITANO</c:v>
                </c:pt>
                <c:pt idx="22">
                  <c:v>BRIGADEIRO ROMEU E JULIETA</c:v>
                </c:pt>
                <c:pt idx="23">
                  <c:v>BRIGADEIRO COCO QUEIMADO</c:v>
                </c:pt>
                <c:pt idx="24">
                  <c:v>BRIGADEIRO DE FERRERO</c:v>
                </c:pt>
                <c:pt idx="25">
                  <c:v>BRIGADEIRO FLORESTA NEGRA</c:v>
                </c:pt>
                <c:pt idx="26">
                  <c:v>BRIGADEIRO CARAMELO</c:v>
                </c:pt>
              </c:strCache>
            </c:strRef>
          </c:cat>
          <c:val>
            <c:numRef>
              <c:f>Gráficos!$X$4:$X$30</c:f>
              <c:numCache>
                <c:formatCode>0</c:formatCode>
                <c:ptCount val="27"/>
                <c:pt idx="0">
                  <c:v>18.777777777777779</c:v>
                </c:pt>
                <c:pt idx="2">
                  <c:v>18.722222222222221</c:v>
                </c:pt>
                <c:pt idx="3">
                  <c:v>19.111111111111111</c:v>
                </c:pt>
                <c:pt idx="4">
                  <c:v>12</c:v>
                </c:pt>
                <c:pt idx="5">
                  <c:v>100</c:v>
                </c:pt>
                <c:pt idx="6">
                  <c:v>20.555555555555557</c:v>
                </c:pt>
                <c:pt idx="7">
                  <c:v>8</c:v>
                </c:pt>
                <c:pt idx="8">
                  <c:v>30</c:v>
                </c:pt>
                <c:pt idx="9">
                  <c:v>19.333333333333332</c:v>
                </c:pt>
                <c:pt idx="10">
                  <c:v>21.666666666666668</c:v>
                </c:pt>
                <c:pt idx="11">
                  <c:v>22.777777777777779</c:v>
                </c:pt>
                <c:pt idx="12">
                  <c:v>20.555555555555557</c:v>
                </c:pt>
                <c:pt idx="13">
                  <c:v>37.555555555555557</c:v>
                </c:pt>
                <c:pt idx="14">
                  <c:v>18.777777777777779</c:v>
                </c:pt>
                <c:pt idx="15">
                  <c:v>18.777777777777779</c:v>
                </c:pt>
                <c:pt idx="16">
                  <c:v>18.777777777777779</c:v>
                </c:pt>
                <c:pt idx="17">
                  <c:v>18.777777777777779</c:v>
                </c:pt>
                <c:pt idx="18">
                  <c:v>18.777777777777779</c:v>
                </c:pt>
                <c:pt idx="19">
                  <c:v>18.777777777777779</c:v>
                </c:pt>
                <c:pt idx="20">
                  <c:v>18.777777777777779</c:v>
                </c:pt>
                <c:pt idx="21">
                  <c:v>56.666666666666664</c:v>
                </c:pt>
                <c:pt idx="22">
                  <c:v>18.777777777777779</c:v>
                </c:pt>
                <c:pt idx="23">
                  <c:v>18.777777777777779</c:v>
                </c:pt>
                <c:pt idx="24">
                  <c:v>18.777777777777779</c:v>
                </c:pt>
                <c:pt idx="25">
                  <c:v>18.777777777777779</c:v>
                </c:pt>
                <c:pt idx="26">
                  <c:v>18.777777777777779</c:v>
                </c:pt>
              </c:numCache>
            </c:numRef>
          </c:val>
          <c:extLst>
            <c:ext xmlns:c16="http://schemas.microsoft.com/office/drawing/2014/chart" uri="{C3380CC4-5D6E-409C-BE32-E72D297353CC}">
              <c16:uniqueId val="{00000000-C5E1-4E9C-BB73-A5DBA749BA8A}"/>
            </c:ext>
          </c:extLst>
        </c:ser>
        <c:dLbls>
          <c:showLegendKey val="0"/>
          <c:showVal val="0"/>
          <c:showCatName val="0"/>
          <c:showSerName val="0"/>
          <c:showPercent val="0"/>
          <c:showBubbleSize val="0"/>
        </c:dLbls>
        <c:gapWidth val="182"/>
        <c:axId val="668236240"/>
        <c:axId val="668239504"/>
      </c:barChart>
      <c:catAx>
        <c:axId val="668236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668239504"/>
        <c:crosses val="autoZero"/>
        <c:auto val="1"/>
        <c:lblAlgn val="ctr"/>
        <c:lblOffset val="100"/>
        <c:noMultiLvlLbl val="0"/>
      </c:catAx>
      <c:valAx>
        <c:axId val="668239504"/>
        <c:scaling>
          <c:orientation val="minMax"/>
        </c:scaling>
        <c:delete val="1"/>
        <c:axPos val="b"/>
        <c:numFmt formatCode="0" sourceLinked="1"/>
        <c:majorTickMark val="none"/>
        <c:minorTickMark val="none"/>
        <c:tickLblPos val="nextTo"/>
        <c:crossAx val="668236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userShapes r:id="rId3"/>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brigadeiros 24-02.xlsm]Gráficos!Tabela dinâmica12</c:name>
    <c:fmtId val="5"/>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Valor vendas por mês</a:t>
            </a:r>
          </a:p>
        </c:rich>
      </c:tx>
      <c:overlay val="0"/>
      <c:spPr>
        <a:solidFill>
          <a:srgbClr val="FFFF00"/>
        </a:solid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225642603778561E-2"/>
          <c:y val="0.44756175854552283"/>
          <c:w val="0.93393031386446468"/>
          <c:h val="0.39533947470576442"/>
        </c:manualLayout>
      </c:layout>
      <c:barChart>
        <c:barDir val="col"/>
        <c:grouping val="clustered"/>
        <c:varyColors val="0"/>
        <c:ser>
          <c:idx val="0"/>
          <c:order val="0"/>
          <c:tx>
            <c:strRef>
              <c:f>Gráficos!$AY$3</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Gráficos!$AX$4:$AX$8</c:f>
              <c:strCache>
                <c:ptCount val="5"/>
                <c:pt idx="0">
                  <c:v>janeiro</c:v>
                </c:pt>
                <c:pt idx="1">
                  <c:v>fevereiro</c:v>
                </c:pt>
                <c:pt idx="2">
                  <c:v>março</c:v>
                </c:pt>
                <c:pt idx="3">
                  <c:v>abril</c:v>
                </c:pt>
                <c:pt idx="4">
                  <c:v>maio</c:v>
                </c:pt>
              </c:strCache>
            </c:strRef>
          </c:cat>
          <c:val>
            <c:numRef>
              <c:f>Gráficos!$AY$4:$AY$8</c:f>
              <c:numCache>
                <c:formatCode>"R$"\ #,##0.00</c:formatCode>
                <c:ptCount val="5"/>
                <c:pt idx="0">
                  <c:v>258</c:v>
                </c:pt>
                <c:pt idx="1">
                  <c:v>875.00183102311939</c:v>
                </c:pt>
                <c:pt idx="2">
                  <c:v>1155</c:v>
                </c:pt>
                <c:pt idx="3">
                  <c:v>1593</c:v>
                </c:pt>
                <c:pt idx="4">
                  <c:v>40</c:v>
                </c:pt>
              </c:numCache>
            </c:numRef>
          </c:val>
          <c:extLst>
            <c:ext xmlns:c16="http://schemas.microsoft.com/office/drawing/2014/chart" uri="{C3380CC4-5D6E-409C-BE32-E72D297353CC}">
              <c16:uniqueId val="{00000000-E939-42D0-A80F-4D5360127811}"/>
            </c:ext>
          </c:extLst>
        </c:ser>
        <c:dLbls>
          <c:showLegendKey val="0"/>
          <c:showVal val="0"/>
          <c:showCatName val="0"/>
          <c:showSerName val="0"/>
          <c:showPercent val="0"/>
          <c:showBubbleSize val="0"/>
        </c:dLbls>
        <c:gapWidth val="219"/>
        <c:overlap val="-27"/>
        <c:axId val="1241939168"/>
        <c:axId val="1241946848"/>
      </c:barChart>
      <c:catAx>
        <c:axId val="124193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241946848"/>
        <c:crosses val="autoZero"/>
        <c:auto val="1"/>
        <c:lblAlgn val="ctr"/>
        <c:lblOffset val="100"/>
        <c:noMultiLvlLbl val="0"/>
      </c:catAx>
      <c:valAx>
        <c:axId val="1241946848"/>
        <c:scaling>
          <c:orientation val="minMax"/>
        </c:scaling>
        <c:delete val="1"/>
        <c:axPos val="l"/>
        <c:numFmt formatCode="&quot;R$&quot;\ #,##0.00" sourceLinked="1"/>
        <c:majorTickMark val="none"/>
        <c:minorTickMark val="none"/>
        <c:tickLblPos val="nextTo"/>
        <c:crossAx val="1241939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brigadeiros 24-02.xlsm]Gráficos!Tabela dinâmica13</c:name>
    <c:fmtId val="5"/>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Vendas por mês</a:t>
            </a:r>
          </a:p>
        </c:rich>
      </c:tx>
      <c:overlay val="0"/>
      <c:spPr>
        <a:solidFill>
          <a:srgbClr val="FFFF00"/>
        </a:solid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340629953496937E-2"/>
          <c:y val="0.46369103012681384"/>
          <c:w val="0.92799590475430638"/>
          <c:h val="0.38061598022724713"/>
        </c:manualLayout>
      </c:layout>
      <c:barChart>
        <c:barDir val="col"/>
        <c:grouping val="clustered"/>
        <c:varyColors val="0"/>
        <c:ser>
          <c:idx val="0"/>
          <c:order val="0"/>
          <c:tx>
            <c:strRef>
              <c:f>Gráficos!$BB$3</c:f>
              <c:strCache>
                <c:ptCount val="1"/>
                <c:pt idx="0">
                  <c:v>Total</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Gráficos!$BA$4:$BA$8</c:f>
              <c:strCache>
                <c:ptCount val="5"/>
                <c:pt idx="0">
                  <c:v>janeiro</c:v>
                </c:pt>
                <c:pt idx="1">
                  <c:v>fevereiro</c:v>
                </c:pt>
                <c:pt idx="2">
                  <c:v>março</c:v>
                </c:pt>
                <c:pt idx="3">
                  <c:v>abril</c:v>
                </c:pt>
                <c:pt idx="4">
                  <c:v>maio</c:v>
                </c:pt>
              </c:strCache>
            </c:strRef>
          </c:cat>
          <c:val>
            <c:numRef>
              <c:f>Gráficos!$BB$4:$BB$8</c:f>
              <c:numCache>
                <c:formatCode>0</c:formatCode>
                <c:ptCount val="5"/>
                <c:pt idx="0">
                  <c:v>12</c:v>
                </c:pt>
                <c:pt idx="1">
                  <c:v>23.5</c:v>
                </c:pt>
                <c:pt idx="2">
                  <c:v>55</c:v>
                </c:pt>
                <c:pt idx="3">
                  <c:v>33</c:v>
                </c:pt>
                <c:pt idx="4">
                  <c:v>2</c:v>
                </c:pt>
              </c:numCache>
            </c:numRef>
          </c:val>
          <c:extLst>
            <c:ext xmlns:c16="http://schemas.microsoft.com/office/drawing/2014/chart" uri="{C3380CC4-5D6E-409C-BE32-E72D297353CC}">
              <c16:uniqueId val="{00000000-3DF4-4C80-9394-B91538DC334E}"/>
            </c:ext>
          </c:extLst>
        </c:ser>
        <c:dLbls>
          <c:showLegendKey val="0"/>
          <c:showVal val="0"/>
          <c:showCatName val="0"/>
          <c:showSerName val="0"/>
          <c:showPercent val="0"/>
          <c:showBubbleSize val="0"/>
        </c:dLbls>
        <c:gapWidth val="219"/>
        <c:overlap val="-27"/>
        <c:axId val="1241941568"/>
        <c:axId val="1241939648"/>
      </c:barChart>
      <c:catAx>
        <c:axId val="124194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241939648"/>
        <c:crosses val="autoZero"/>
        <c:auto val="1"/>
        <c:lblAlgn val="ctr"/>
        <c:lblOffset val="100"/>
        <c:noMultiLvlLbl val="0"/>
      </c:catAx>
      <c:valAx>
        <c:axId val="1241939648"/>
        <c:scaling>
          <c:orientation val="minMax"/>
        </c:scaling>
        <c:delete val="1"/>
        <c:axPos val="l"/>
        <c:numFmt formatCode="0" sourceLinked="1"/>
        <c:majorTickMark val="none"/>
        <c:minorTickMark val="none"/>
        <c:tickLblPos val="nextTo"/>
        <c:crossAx val="1241941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3" Type="http://schemas.openxmlformats.org/officeDocument/2006/relationships/chart" Target="../charts/chart1.xml"/><Relationship Id="rId7" Type="http://schemas.openxmlformats.org/officeDocument/2006/relationships/chart" Target="../charts/chart5.xml"/><Relationship Id="rId12" Type="http://schemas.openxmlformats.org/officeDocument/2006/relationships/image" Target="../media/image6.png"/><Relationship Id="rId2" Type="http://schemas.openxmlformats.org/officeDocument/2006/relationships/image" Target="../media/image2.png"/><Relationship Id="rId16" Type="http://schemas.openxmlformats.org/officeDocument/2006/relationships/image" Target="../media/image8.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5.png"/><Relationship Id="rId5" Type="http://schemas.openxmlformats.org/officeDocument/2006/relationships/chart" Target="../charts/chart3.xml"/><Relationship Id="rId15" Type="http://schemas.openxmlformats.org/officeDocument/2006/relationships/chart" Target="../charts/chart8.xml"/><Relationship Id="rId10" Type="http://schemas.openxmlformats.org/officeDocument/2006/relationships/image" Target="../media/image4.png"/><Relationship Id="rId4" Type="http://schemas.openxmlformats.org/officeDocument/2006/relationships/chart" Target="../charts/chart2.xml"/><Relationship Id="rId9" Type="http://schemas.openxmlformats.org/officeDocument/2006/relationships/image" Target="../media/image3.png"/><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338674</xdr:colOff>
      <xdr:row>15</xdr:row>
      <xdr:rowOff>63770</xdr:rowOff>
    </xdr:from>
    <xdr:to>
      <xdr:col>6</xdr:col>
      <xdr:colOff>262467</xdr:colOff>
      <xdr:row>20</xdr:row>
      <xdr:rowOff>59799</xdr:rowOff>
    </xdr:to>
    <xdr:sp macro="" textlink="$BE$2">
      <xdr:nvSpPr>
        <xdr:cNvPr id="17" name="Retângulo: Cantos Arredondados 16">
          <a:extLst>
            <a:ext uri="{FF2B5EF4-FFF2-40B4-BE49-F238E27FC236}">
              <a16:creationId xmlns:a16="http://schemas.microsoft.com/office/drawing/2014/main" id="{B3EB2674-D0F3-4A58-9F64-D77463BE35F0}"/>
            </a:ext>
          </a:extLst>
        </xdr:cNvPr>
        <xdr:cNvSpPr/>
      </xdr:nvSpPr>
      <xdr:spPr>
        <a:xfrm>
          <a:off x="2167474" y="3365770"/>
          <a:ext cx="1752593" cy="935829"/>
        </a:xfrm>
        <a:prstGeom prst="roundRect">
          <a:avLst/>
        </a:prstGeom>
        <a:solidFill>
          <a:schemeClr val="accent1">
            <a:lumMod val="75000"/>
          </a:schemeClr>
        </a:solidFill>
        <a:ln>
          <a:solidFill>
            <a:schemeClr val="bg1"/>
          </a:solidFill>
        </a:ln>
        <a:effectLst>
          <a:outerShdw blurRad="149987" dist="16510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D70A3D4E-1FA8-427F-AB91-C698CCBDC9B1}" type="TxLink">
            <a:rPr lang="en-US" sz="1600" b="1" i="0" u="none" strike="noStrike" kern="1200">
              <a:solidFill>
                <a:schemeClr val="bg1"/>
              </a:solidFill>
              <a:latin typeface="Calibri"/>
              <a:ea typeface="Calibri"/>
              <a:cs typeface="Calibri"/>
            </a:rPr>
            <a:pPr algn="r"/>
            <a:t> R$3.921,00 </a:t>
          </a:fld>
          <a:endParaRPr lang="en-US" sz="2800" b="1" kern="1200">
            <a:solidFill>
              <a:schemeClr val="bg1"/>
            </a:solidFill>
            <a:latin typeface="+mn-lt"/>
          </a:endParaRPr>
        </a:p>
      </xdr:txBody>
    </xdr:sp>
    <xdr:clientData/>
  </xdr:twoCellAnchor>
  <xdr:twoCellAnchor>
    <xdr:from>
      <xdr:col>3</xdr:col>
      <xdr:colOff>370423</xdr:colOff>
      <xdr:row>18</xdr:row>
      <xdr:rowOff>66125</xdr:rowOff>
    </xdr:from>
    <xdr:to>
      <xdr:col>5</xdr:col>
      <xdr:colOff>65623</xdr:colOff>
      <xdr:row>21</xdr:row>
      <xdr:rowOff>95705</xdr:rowOff>
    </xdr:to>
    <xdr:sp macro="" textlink="$BP$3">
      <xdr:nvSpPr>
        <xdr:cNvPr id="20" name="Retângulo: Cantos Arredondados 19">
          <a:extLst>
            <a:ext uri="{FF2B5EF4-FFF2-40B4-BE49-F238E27FC236}">
              <a16:creationId xmlns:a16="http://schemas.microsoft.com/office/drawing/2014/main" id="{0A06B2BD-7ECE-4E1C-90AB-9A64DC28811C}"/>
            </a:ext>
          </a:extLst>
        </xdr:cNvPr>
        <xdr:cNvSpPr/>
      </xdr:nvSpPr>
      <xdr:spPr>
        <a:xfrm>
          <a:off x="2199223" y="3935392"/>
          <a:ext cx="914400" cy="5883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pt-BR" sz="800" b="1" kern="1200">
              <a:solidFill>
                <a:schemeClr val="bg1"/>
              </a:solidFill>
              <a:latin typeface="+mn-lt"/>
              <a:ea typeface="+mn-ea"/>
              <a:cs typeface="+mn-cs"/>
            </a:rPr>
            <a:t>VENDAS</a:t>
          </a:r>
        </a:p>
      </xdr:txBody>
    </xdr:sp>
    <xdr:clientData/>
  </xdr:twoCellAnchor>
  <xdr:twoCellAnchor>
    <xdr:from>
      <xdr:col>6</xdr:col>
      <xdr:colOff>535200</xdr:colOff>
      <xdr:row>15</xdr:row>
      <xdr:rowOff>57457</xdr:rowOff>
    </xdr:from>
    <xdr:to>
      <xdr:col>9</xdr:col>
      <xdr:colOff>458993</xdr:colOff>
      <xdr:row>20</xdr:row>
      <xdr:rowOff>53486</xdr:rowOff>
    </xdr:to>
    <xdr:sp macro="" textlink="$BF$2">
      <xdr:nvSpPr>
        <xdr:cNvPr id="9" name="Retângulo: Cantos Arredondados 8">
          <a:extLst>
            <a:ext uri="{FF2B5EF4-FFF2-40B4-BE49-F238E27FC236}">
              <a16:creationId xmlns:a16="http://schemas.microsoft.com/office/drawing/2014/main" id="{3E211E3E-4053-4C4C-A37E-CC7FFAC4187F}"/>
            </a:ext>
          </a:extLst>
        </xdr:cNvPr>
        <xdr:cNvSpPr/>
      </xdr:nvSpPr>
      <xdr:spPr>
        <a:xfrm>
          <a:off x="4192800" y="3359457"/>
          <a:ext cx="1752593" cy="935829"/>
        </a:xfrm>
        <a:prstGeom prst="roundRect">
          <a:avLst/>
        </a:prstGeom>
        <a:solidFill>
          <a:schemeClr val="accent1">
            <a:lumMod val="75000"/>
          </a:schemeClr>
        </a:solidFill>
        <a:ln>
          <a:solidFill>
            <a:schemeClr val="bg1"/>
          </a:solidFill>
        </a:ln>
        <a:effectLst>
          <a:outerShdw blurRad="149987" dist="16510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8BF3C1A-7A13-4A42-93B5-BEC53574E39B}" type="TxLink">
            <a:rPr lang="en-US" sz="1600" b="1" i="0" u="none" strike="noStrike" kern="1200">
              <a:solidFill>
                <a:schemeClr val="bg1"/>
              </a:solidFill>
              <a:latin typeface="Calibri"/>
              <a:ea typeface="Calibri"/>
              <a:cs typeface="Calibri"/>
            </a:rPr>
            <a:pPr algn="r"/>
            <a:t> R$3.776,00 </a:t>
          </a:fld>
          <a:endParaRPr lang="en-US" sz="2800" b="1" kern="1200">
            <a:solidFill>
              <a:schemeClr val="bg1"/>
            </a:solidFill>
            <a:latin typeface="+mn-lt"/>
          </a:endParaRPr>
        </a:p>
      </xdr:txBody>
    </xdr:sp>
    <xdr:clientData/>
  </xdr:twoCellAnchor>
  <xdr:twoCellAnchor>
    <xdr:from>
      <xdr:col>6</xdr:col>
      <xdr:colOff>382171</xdr:colOff>
      <xdr:row>17</xdr:row>
      <xdr:rowOff>171927</xdr:rowOff>
    </xdr:from>
    <xdr:to>
      <xdr:col>8</xdr:col>
      <xdr:colOff>127004</xdr:colOff>
      <xdr:row>21</xdr:row>
      <xdr:rowOff>129176</xdr:rowOff>
    </xdr:to>
    <xdr:sp macro="" textlink="$BP$3">
      <xdr:nvSpPr>
        <xdr:cNvPr id="10" name="Retângulo: Cantos Arredondados 9">
          <a:extLst>
            <a:ext uri="{FF2B5EF4-FFF2-40B4-BE49-F238E27FC236}">
              <a16:creationId xmlns:a16="http://schemas.microsoft.com/office/drawing/2014/main" id="{F7BF2AEE-E1EE-49DC-8C61-C7ACAE25F4C3}"/>
            </a:ext>
          </a:extLst>
        </xdr:cNvPr>
        <xdr:cNvSpPr/>
      </xdr:nvSpPr>
      <xdr:spPr>
        <a:xfrm>
          <a:off x="4039771" y="3854927"/>
          <a:ext cx="964033" cy="70231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800" b="1" kern="1200">
              <a:solidFill>
                <a:schemeClr val="bg1"/>
              </a:solidFill>
              <a:latin typeface="+mn-lt"/>
              <a:ea typeface="+mn-ea"/>
              <a:cs typeface="+mn-cs"/>
            </a:rPr>
            <a:t>VALOR RECEBIDO</a:t>
          </a:r>
        </a:p>
      </xdr:txBody>
    </xdr:sp>
    <xdr:clientData/>
  </xdr:twoCellAnchor>
  <xdr:twoCellAnchor editAs="oneCell">
    <xdr:from>
      <xdr:col>3</xdr:col>
      <xdr:colOff>457205</xdr:colOff>
      <xdr:row>16</xdr:row>
      <xdr:rowOff>31479</xdr:rowOff>
    </xdr:from>
    <xdr:to>
      <xdr:col>4</xdr:col>
      <xdr:colOff>267271</xdr:colOff>
      <xdr:row>18</xdr:row>
      <xdr:rowOff>78611</xdr:rowOff>
    </xdr:to>
    <xdr:pic>
      <xdr:nvPicPr>
        <xdr:cNvPr id="28" name="Imagem 27">
          <a:extLst>
            <a:ext uri="{FF2B5EF4-FFF2-40B4-BE49-F238E27FC236}">
              <a16:creationId xmlns:a16="http://schemas.microsoft.com/office/drawing/2014/main" id="{E297867A-5410-1FEA-B9E5-3A8E14F951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5" y="3528212"/>
          <a:ext cx="419666" cy="419666"/>
        </a:xfrm>
        <a:prstGeom prst="rect">
          <a:avLst/>
        </a:prstGeom>
      </xdr:spPr>
    </xdr:pic>
    <xdr:clientData/>
  </xdr:twoCellAnchor>
  <xdr:twoCellAnchor editAs="oneCell">
    <xdr:from>
      <xdr:col>7</xdr:col>
      <xdr:colOff>62937</xdr:colOff>
      <xdr:row>15</xdr:row>
      <xdr:rowOff>181481</xdr:rowOff>
    </xdr:from>
    <xdr:to>
      <xdr:col>7</xdr:col>
      <xdr:colOff>482603</xdr:colOff>
      <xdr:row>18</xdr:row>
      <xdr:rowOff>33880</xdr:rowOff>
    </xdr:to>
    <xdr:pic>
      <xdr:nvPicPr>
        <xdr:cNvPr id="30" name="Imagem 29">
          <a:extLst>
            <a:ext uri="{FF2B5EF4-FFF2-40B4-BE49-F238E27FC236}">
              <a16:creationId xmlns:a16="http://schemas.microsoft.com/office/drawing/2014/main" id="{CB617CDA-B6A6-A028-9D5E-221EBE7FC67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30137" y="3483481"/>
          <a:ext cx="419666" cy="419666"/>
        </a:xfrm>
        <a:prstGeom prst="rect">
          <a:avLst/>
        </a:prstGeom>
      </xdr:spPr>
    </xdr:pic>
    <xdr:clientData/>
  </xdr:twoCellAnchor>
  <xdr:twoCellAnchor>
    <xdr:from>
      <xdr:col>0</xdr:col>
      <xdr:colOff>118533</xdr:colOff>
      <xdr:row>5</xdr:row>
      <xdr:rowOff>12955</xdr:rowOff>
    </xdr:from>
    <xdr:to>
      <xdr:col>9</xdr:col>
      <xdr:colOff>474133</xdr:colOff>
      <xdr:row>13</xdr:row>
      <xdr:rowOff>186267</xdr:rowOff>
    </xdr:to>
    <xdr:sp macro="" textlink="">
      <xdr:nvSpPr>
        <xdr:cNvPr id="8" name="Retângulo: Cantos Arredondados 7">
          <a:extLst>
            <a:ext uri="{FF2B5EF4-FFF2-40B4-BE49-F238E27FC236}">
              <a16:creationId xmlns:a16="http://schemas.microsoft.com/office/drawing/2014/main" id="{C587A20A-D95E-4512-B0B9-0D3445A48C13}"/>
            </a:ext>
          </a:extLst>
        </xdr:cNvPr>
        <xdr:cNvSpPr/>
      </xdr:nvSpPr>
      <xdr:spPr>
        <a:xfrm>
          <a:off x="118533" y="1376088"/>
          <a:ext cx="5842000" cy="1722712"/>
        </a:xfrm>
        <a:prstGeom prst="roundRect">
          <a:avLst/>
        </a:prstGeom>
        <a:solidFill>
          <a:srgbClr val="007A37"/>
        </a:solidFill>
        <a:ln>
          <a:solidFill>
            <a:schemeClr val="bg1"/>
          </a:solidFill>
        </a:ln>
        <a:effectLst>
          <a:outerShdw blurRad="149987" dist="16510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i="0" u="none" strike="noStrike" kern="1200">
              <a:solidFill>
                <a:schemeClr val="bg1"/>
              </a:solidFill>
              <a:latin typeface="Calibri"/>
              <a:ea typeface="Calibri"/>
              <a:cs typeface="Calibri"/>
            </a:rPr>
            <a:t> </a:t>
          </a:r>
        </a:p>
      </xdr:txBody>
    </xdr:sp>
    <xdr:clientData/>
  </xdr:twoCellAnchor>
  <xdr:twoCellAnchor editAs="oneCell">
    <xdr:from>
      <xdr:col>11</xdr:col>
      <xdr:colOff>76200</xdr:colOff>
      <xdr:row>0</xdr:row>
      <xdr:rowOff>84666</xdr:rowOff>
    </xdr:from>
    <xdr:to>
      <xdr:col>13</xdr:col>
      <xdr:colOff>1456267</xdr:colOff>
      <xdr:row>4</xdr:row>
      <xdr:rowOff>59268</xdr:rowOff>
    </xdr:to>
    <mc:AlternateContent xmlns:mc="http://schemas.openxmlformats.org/markup-compatibility/2006" xmlns:a14="http://schemas.microsoft.com/office/drawing/2010/main">
      <mc:Choice Requires="a14">
        <xdr:graphicFrame macro="">
          <xdr:nvGraphicFramePr>
            <xdr:cNvPr id="51" name="Nome">
              <a:extLst>
                <a:ext uri="{FF2B5EF4-FFF2-40B4-BE49-F238E27FC236}">
                  <a16:creationId xmlns:a16="http://schemas.microsoft.com/office/drawing/2014/main" id="{6C6A1416-4CDC-49DA-A934-CFD4FB3BD81F}"/>
                </a:ext>
              </a:extLst>
            </xdr:cNvPr>
            <xdr:cNvGraphicFramePr/>
          </xdr:nvGraphicFramePr>
          <xdr:xfrm>
            <a:off x="0" y="0"/>
            <a:ext cx="0" cy="0"/>
          </xdr:xfrm>
          <a:graphic>
            <a:graphicData uri="http://schemas.microsoft.com/office/drawing/2010/slicer">
              <sle:slicer xmlns:sle="http://schemas.microsoft.com/office/drawing/2010/slicer" name="Nome"/>
            </a:graphicData>
          </a:graphic>
        </xdr:graphicFrame>
      </mc:Choice>
      <mc:Fallback xmlns="">
        <xdr:sp macro="" textlink="">
          <xdr:nvSpPr>
            <xdr:cNvPr id="0" name=""/>
            <xdr:cNvSpPr>
              <a:spLocks noTextEdit="1"/>
            </xdr:cNvSpPr>
          </xdr:nvSpPr>
          <xdr:spPr>
            <a:xfrm>
              <a:off x="7662333" y="84666"/>
              <a:ext cx="5940000" cy="1143002"/>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15</xdr:col>
      <xdr:colOff>127848</xdr:colOff>
      <xdr:row>0</xdr:row>
      <xdr:rowOff>81914</xdr:rowOff>
    </xdr:from>
    <xdr:to>
      <xdr:col>15</xdr:col>
      <xdr:colOff>1625600</xdr:colOff>
      <xdr:row>4</xdr:row>
      <xdr:rowOff>42183</xdr:rowOff>
    </xdr:to>
    <mc:AlternateContent xmlns:mc="http://schemas.openxmlformats.org/markup-compatibility/2006" xmlns:a14="http://schemas.microsoft.com/office/drawing/2010/main">
      <mc:Choice Requires="a14">
        <xdr:graphicFrame macro="">
          <xdr:nvGraphicFramePr>
            <xdr:cNvPr id="2" name="Categoria 1">
              <a:extLst>
                <a:ext uri="{FF2B5EF4-FFF2-40B4-BE49-F238E27FC236}">
                  <a16:creationId xmlns:a16="http://schemas.microsoft.com/office/drawing/2014/main" id="{494B6F61-D49F-409E-8189-C62FD2946AA1}"/>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7581161" y="81914"/>
              <a:ext cx="1294551" cy="11628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16</xdr:col>
      <xdr:colOff>33867</xdr:colOff>
      <xdr:row>0</xdr:row>
      <xdr:rowOff>80008</xdr:rowOff>
    </xdr:from>
    <xdr:to>
      <xdr:col>19</xdr:col>
      <xdr:colOff>1159935</xdr:colOff>
      <xdr:row>4</xdr:row>
      <xdr:rowOff>40277</xdr:rowOff>
    </xdr:to>
    <mc:AlternateContent xmlns:mc="http://schemas.openxmlformats.org/markup-compatibility/2006" xmlns:a14="http://schemas.microsoft.com/office/drawing/2010/main">
      <mc:Choice Requires="a14">
        <xdr:graphicFrame macro="">
          <xdr:nvGraphicFramePr>
            <xdr:cNvPr id="3" name="Produto 1">
              <a:extLst>
                <a:ext uri="{FF2B5EF4-FFF2-40B4-BE49-F238E27FC236}">
                  <a16:creationId xmlns:a16="http://schemas.microsoft.com/office/drawing/2014/main" id="{1653F26E-FEB5-47EE-A4FD-C95E7930570B}"/>
                </a:ext>
              </a:extLst>
            </xdr:cNvPr>
            <xdr:cNvGraphicFramePr/>
          </xdr:nvGraphicFramePr>
          <xdr:xfrm>
            <a:off x="0" y="0"/>
            <a:ext cx="0" cy="0"/>
          </xdr:xfrm>
          <a:graphic>
            <a:graphicData uri="http://schemas.microsoft.com/office/drawing/2010/slicer">
              <sle:slicer xmlns:sle="http://schemas.microsoft.com/office/drawing/2010/slicer" name="Produto 1"/>
            </a:graphicData>
          </a:graphic>
        </xdr:graphicFrame>
      </mc:Choice>
      <mc:Fallback xmlns="">
        <xdr:sp macro="" textlink="">
          <xdr:nvSpPr>
            <xdr:cNvPr id="0" name=""/>
            <xdr:cNvSpPr>
              <a:spLocks noTextEdit="1"/>
            </xdr:cNvSpPr>
          </xdr:nvSpPr>
          <xdr:spPr>
            <a:xfrm>
              <a:off x="8994248" y="80008"/>
              <a:ext cx="6191250" cy="11628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17</xdr:col>
      <xdr:colOff>694266</xdr:colOff>
      <xdr:row>17</xdr:row>
      <xdr:rowOff>19050</xdr:rowOff>
    </xdr:from>
    <xdr:to>
      <xdr:col>19</xdr:col>
      <xdr:colOff>1125195</xdr:colOff>
      <xdr:row>26</xdr:row>
      <xdr:rowOff>82411</xdr:rowOff>
    </xdr:to>
    <xdr:graphicFrame macro="">
      <xdr:nvGraphicFramePr>
        <xdr:cNvPr id="5" name="Gráfico 4">
          <a:extLst>
            <a:ext uri="{FF2B5EF4-FFF2-40B4-BE49-F238E27FC236}">
              <a16:creationId xmlns:a16="http://schemas.microsoft.com/office/drawing/2014/main" id="{EC60EF50-BD88-4B83-B33D-240B852007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694267</xdr:colOff>
      <xdr:row>5</xdr:row>
      <xdr:rowOff>19049</xdr:rowOff>
    </xdr:from>
    <xdr:to>
      <xdr:col>19</xdr:col>
      <xdr:colOff>1126068</xdr:colOff>
      <xdr:row>16</xdr:row>
      <xdr:rowOff>70648</xdr:rowOff>
    </xdr:to>
    <xdr:graphicFrame macro="">
      <xdr:nvGraphicFramePr>
        <xdr:cNvPr id="6" name="Gráfico 5">
          <a:extLst>
            <a:ext uri="{FF2B5EF4-FFF2-40B4-BE49-F238E27FC236}">
              <a16:creationId xmlns:a16="http://schemas.microsoft.com/office/drawing/2014/main" id="{9E2A6067-7408-4DC6-BA3F-EB78C3BB6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126386</xdr:colOff>
      <xdr:row>5</xdr:row>
      <xdr:rowOff>19050</xdr:rowOff>
    </xdr:from>
    <xdr:to>
      <xdr:col>17</xdr:col>
      <xdr:colOff>550333</xdr:colOff>
      <xdr:row>16</xdr:row>
      <xdr:rowOff>69849</xdr:rowOff>
    </xdr:to>
    <xdr:graphicFrame macro="">
      <xdr:nvGraphicFramePr>
        <xdr:cNvPr id="7" name="Gráfico 6">
          <a:extLst>
            <a:ext uri="{FF2B5EF4-FFF2-40B4-BE49-F238E27FC236}">
              <a16:creationId xmlns:a16="http://schemas.microsoft.com/office/drawing/2014/main" id="{62961F3C-B518-459D-AFAE-96BB4026D4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147710</xdr:colOff>
      <xdr:row>21</xdr:row>
      <xdr:rowOff>114051</xdr:rowOff>
    </xdr:from>
    <xdr:to>
      <xdr:col>3</xdr:col>
      <xdr:colOff>71503</xdr:colOff>
      <xdr:row>26</xdr:row>
      <xdr:rowOff>118547</xdr:rowOff>
    </xdr:to>
    <xdr:sp macro="" textlink="$BG$4">
      <xdr:nvSpPr>
        <xdr:cNvPr id="18" name="Retângulo: Cantos Arredondados 17">
          <a:extLst>
            <a:ext uri="{FF2B5EF4-FFF2-40B4-BE49-F238E27FC236}">
              <a16:creationId xmlns:a16="http://schemas.microsoft.com/office/drawing/2014/main" id="{771A8881-51AF-41BB-BA3C-958D75423586}"/>
            </a:ext>
          </a:extLst>
        </xdr:cNvPr>
        <xdr:cNvSpPr/>
      </xdr:nvSpPr>
      <xdr:spPr>
        <a:xfrm>
          <a:off x="147710" y="4542118"/>
          <a:ext cx="1752593" cy="935829"/>
        </a:xfrm>
        <a:prstGeom prst="roundRect">
          <a:avLst/>
        </a:prstGeom>
        <a:solidFill>
          <a:srgbClr val="FD9803"/>
        </a:solidFill>
        <a:ln>
          <a:solidFill>
            <a:schemeClr val="bg1"/>
          </a:solidFill>
        </a:ln>
        <a:effectLst>
          <a:outerShdw blurRad="149987" dist="16510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E7A68B74-7678-4EB6-8D67-CF2F82C95CB5}" type="TxLink">
            <a:rPr lang="en-US" sz="1600" b="1" i="0" u="none" strike="noStrike" kern="1200">
              <a:solidFill>
                <a:schemeClr val="bg1"/>
              </a:solidFill>
              <a:latin typeface="Calibri"/>
              <a:ea typeface="Calibri"/>
              <a:cs typeface="Calibri"/>
            </a:rPr>
            <a:pPr algn="r"/>
            <a:t>-R$ 145,00</a:t>
          </a:fld>
          <a:endParaRPr lang="en-US" sz="2800" b="1" kern="1200">
            <a:solidFill>
              <a:schemeClr val="bg1"/>
            </a:solidFill>
            <a:latin typeface="+mn-lt"/>
          </a:endParaRPr>
        </a:p>
      </xdr:txBody>
    </xdr:sp>
    <xdr:clientData/>
  </xdr:twoCellAnchor>
  <xdr:twoCellAnchor>
    <xdr:from>
      <xdr:col>0</xdr:col>
      <xdr:colOff>60410</xdr:colOff>
      <xdr:row>24</xdr:row>
      <xdr:rowOff>51106</xdr:rowOff>
    </xdr:from>
    <xdr:to>
      <xdr:col>1</xdr:col>
      <xdr:colOff>279388</xdr:colOff>
      <xdr:row>28</xdr:row>
      <xdr:rowOff>9566</xdr:rowOff>
    </xdr:to>
    <xdr:sp macro="" textlink="$BP$3">
      <xdr:nvSpPr>
        <xdr:cNvPr id="22" name="Retângulo: Cantos Arredondados 21">
          <a:extLst>
            <a:ext uri="{FF2B5EF4-FFF2-40B4-BE49-F238E27FC236}">
              <a16:creationId xmlns:a16="http://schemas.microsoft.com/office/drawing/2014/main" id="{CF19E7CD-8904-4685-93B5-30C6AAD138EB}"/>
            </a:ext>
          </a:extLst>
        </xdr:cNvPr>
        <xdr:cNvSpPr/>
      </xdr:nvSpPr>
      <xdr:spPr>
        <a:xfrm>
          <a:off x="60410" y="5037973"/>
          <a:ext cx="828578" cy="70352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800" b="1" kern="1200">
              <a:solidFill>
                <a:schemeClr val="bg1"/>
              </a:solidFill>
              <a:latin typeface="+mn-lt"/>
              <a:ea typeface="+mn-ea"/>
              <a:cs typeface="+mn-cs"/>
            </a:rPr>
            <a:t>VALOR A RECEBER</a:t>
          </a:r>
        </a:p>
      </xdr:txBody>
    </xdr:sp>
    <xdr:clientData/>
  </xdr:twoCellAnchor>
  <xdr:twoCellAnchor>
    <xdr:from>
      <xdr:col>3</xdr:col>
      <xdr:colOff>338667</xdr:colOff>
      <xdr:row>21</xdr:row>
      <xdr:rowOff>114049</xdr:rowOff>
    </xdr:from>
    <xdr:to>
      <xdr:col>6</xdr:col>
      <xdr:colOff>262460</xdr:colOff>
      <xdr:row>26</xdr:row>
      <xdr:rowOff>118545</xdr:rowOff>
    </xdr:to>
    <xdr:sp macro="" textlink="$BJ$2">
      <xdr:nvSpPr>
        <xdr:cNvPr id="31" name="Retângulo: Cantos Arredondados 30">
          <a:extLst>
            <a:ext uri="{FF2B5EF4-FFF2-40B4-BE49-F238E27FC236}">
              <a16:creationId xmlns:a16="http://schemas.microsoft.com/office/drawing/2014/main" id="{30A7C346-0BE8-4EEA-88A5-3895CB2644C6}"/>
            </a:ext>
          </a:extLst>
        </xdr:cNvPr>
        <xdr:cNvSpPr/>
      </xdr:nvSpPr>
      <xdr:spPr>
        <a:xfrm>
          <a:off x="2167467" y="4542116"/>
          <a:ext cx="1752593" cy="935829"/>
        </a:xfrm>
        <a:prstGeom prst="roundRect">
          <a:avLst/>
        </a:prstGeom>
        <a:solidFill>
          <a:srgbClr val="FF0000"/>
        </a:solidFill>
        <a:ln>
          <a:solidFill>
            <a:schemeClr val="bg1"/>
          </a:solidFill>
        </a:ln>
        <a:effectLst>
          <a:outerShdw blurRad="149987" dist="16510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90134FBD-EF4D-42CE-A4B0-F768365C4088}" type="TxLink">
            <a:rPr lang="en-US" sz="1600" b="1" i="0" u="none" strike="noStrike" kern="1200">
              <a:solidFill>
                <a:schemeClr val="bg1"/>
              </a:solidFill>
              <a:latin typeface="Calibri"/>
              <a:ea typeface="Calibri"/>
              <a:cs typeface="Calibri"/>
            </a:rPr>
            <a:pPr algn="r"/>
            <a:t> R$2.415,96 </a:t>
          </a:fld>
          <a:endParaRPr lang="en-US" sz="2800" b="1" kern="1200">
            <a:solidFill>
              <a:schemeClr val="bg1"/>
            </a:solidFill>
            <a:latin typeface="+mn-lt"/>
          </a:endParaRPr>
        </a:p>
      </xdr:txBody>
    </xdr:sp>
    <xdr:clientData/>
  </xdr:twoCellAnchor>
  <xdr:twoCellAnchor>
    <xdr:from>
      <xdr:col>3</xdr:col>
      <xdr:colOff>346071</xdr:colOff>
      <xdr:row>24</xdr:row>
      <xdr:rowOff>54547</xdr:rowOff>
    </xdr:from>
    <xdr:to>
      <xdr:col>4</xdr:col>
      <xdr:colOff>440262</xdr:colOff>
      <xdr:row>28</xdr:row>
      <xdr:rowOff>13007</xdr:rowOff>
    </xdr:to>
    <xdr:sp macro="" textlink="$BP$11">
      <xdr:nvSpPr>
        <xdr:cNvPr id="32" name="Retângulo: Cantos Arredondados 31">
          <a:extLst>
            <a:ext uri="{FF2B5EF4-FFF2-40B4-BE49-F238E27FC236}">
              <a16:creationId xmlns:a16="http://schemas.microsoft.com/office/drawing/2014/main" id="{0A07075A-5B75-49BA-92A0-D4353BF030ED}"/>
            </a:ext>
          </a:extLst>
        </xdr:cNvPr>
        <xdr:cNvSpPr/>
      </xdr:nvSpPr>
      <xdr:spPr>
        <a:xfrm>
          <a:off x="2174871" y="5041414"/>
          <a:ext cx="703791" cy="70352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pt-BR" sz="800" b="1" kern="1200">
              <a:solidFill>
                <a:schemeClr val="bg1"/>
              </a:solidFill>
              <a:latin typeface="+mn-lt"/>
              <a:ea typeface="+mn-ea"/>
              <a:cs typeface="+mn-cs"/>
            </a:rPr>
            <a:t>TOTAL DE DESPESAS</a:t>
          </a:r>
        </a:p>
      </xdr:txBody>
    </xdr:sp>
    <xdr:clientData/>
  </xdr:twoCellAnchor>
  <xdr:twoCellAnchor>
    <xdr:from>
      <xdr:col>0</xdr:col>
      <xdr:colOff>143929</xdr:colOff>
      <xdr:row>15</xdr:row>
      <xdr:rowOff>55300</xdr:rowOff>
    </xdr:from>
    <xdr:to>
      <xdr:col>3</xdr:col>
      <xdr:colOff>67722</xdr:colOff>
      <xdr:row>20</xdr:row>
      <xdr:rowOff>51329</xdr:rowOff>
    </xdr:to>
    <xdr:sp macro="" textlink="$BK$4">
      <xdr:nvSpPr>
        <xdr:cNvPr id="35" name="Retângulo: Cantos Arredondados 34">
          <a:extLst>
            <a:ext uri="{FF2B5EF4-FFF2-40B4-BE49-F238E27FC236}">
              <a16:creationId xmlns:a16="http://schemas.microsoft.com/office/drawing/2014/main" id="{57E66A7D-3680-46D7-B6C7-59ADE9866AE4}"/>
            </a:ext>
          </a:extLst>
        </xdr:cNvPr>
        <xdr:cNvSpPr/>
      </xdr:nvSpPr>
      <xdr:spPr>
        <a:xfrm>
          <a:off x="143929" y="3357300"/>
          <a:ext cx="1752593" cy="935829"/>
        </a:xfrm>
        <a:prstGeom prst="roundRect">
          <a:avLst/>
        </a:prstGeom>
        <a:solidFill>
          <a:schemeClr val="accent1">
            <a:lumMod val="75000"/>
          </a:schemeClr>
        </a:solidFill>
        <a:ln>
          <a:solidFill>
            <a:schemeClr val="bg1"/>
          </a:solidFill>
        </a:ln>
        <a:effectLst>
          <a:outerShdw blurRad="149987" dist="16510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F69F81D-5A5D-4730-AC2C-65F273B4F21A}" type="TxLink">
            <a:rPr lang="en-US" sz="1600" b="1" i="0" u="none" strike="noStrike" kern="1200">
              <a:solidFill>
                <a:schemeClr val="bg1"/>
              </a:solidFill>
              <a:latin typeface="Calibri"/>
              <a:ea typeface="Calibri"/>
              <a:cs typeface="Calibri"/>
            </a:rPr>
            <a:pPr algn="r"/>
            <a:t>R$ 1.360,04</a:t>
          </a:fld>
          <a:endParaRPr lang="en-US" sz="2800" b="1" kern="1200">
            <a:solidFill>
              <a:schemeClr val="bg1"/>
            </a:solidFill>
            <a:latin typeface="+mn-lt"/>
          </a:endParaRPr>
        </a:p>
      </xdr:txBody>
    </xdr:sp>
    <xdr:clientData/>
  </xdr:twoCellAnchor>
  <xdr:twoCellAnchor>
    <xdr:from>
      <xdr:col>0</xdr:col>
      <xdr:colOff>196308</xdr:colOff>
      <xdr:row>18</xdr:row>
      <xdr:rowOff>1723</xdr:rowOff>
    </xdr:from>
    <xdr:to>
      <xdr:col>1</xdr:col>
      <xdr:colOff>347113</xdr:colOff>
      <xdr:row>21</xdr:row>
      <xdr:rowOff>115123</xdr:rowOff>
    </xdr:to>
    <xdr:sp macro="" textlink="$BO$15">
      <xdr:nvSpPr>
        <xdr:cNvPr id="36" name="Retângulo: Cantos Arredondados 35">
          <a:extLst>
            <a:ext uri="{FF2B5EF4-FFF2-40B4-BE49-F238E27FC236}">
              <a16:creationId xmlns:a16="http://schemas.microsoft.com/office/drawing/2014/main" id="{3CCD9581-97AC-49F8-B59C-C4DD768F7702}"/>
            </a:ext>
          </a:extLst>
        </xdr:cNvPr>
        <xdr:cNvSpPr/>
      </xdr:nvSpPr>
      <xdr:spPr>
        <a:xfrm>
          <a:off x="196308" y="3870990"/>
          <a:ext cx="760405" cy="672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A26E249-470E-41C3-B672-36C366EB041E}" type="TxLink">
            <a:rPr lang="en-US" sz="800" b="1" kern="1200">
              <a:solidFill>
                <a:schemeClr val="bg1"/>
              </a:solidFill>
              <a:latin typeface="+mn-lt"/>
              <a:ea typeface="+mn-ea"/>
              <a:cs typeface="+mn-cs"/>
            </a:rPr>
            <a:pPr marL="0" indent="0" algn="l"/>
            <a:t>LUCRO TOTAL</a:t>
          </a:fld>
          <a:endParaRPr lang="pt-BR" sz="800" b="1" kern="1200">
            <a:solidFill>
              <a:schemeClr val="bg1"/>
            </a:solidFill>
            <a:latin typeface="+mn-lt"/>
            <a:ea typeface="+mn-ea"/>
            <a:cs typeface="+mn-cs"/>
          </a:endParaRPr>
        </a:p>
      </xdr:txBody>
    </xdr:sp>
    <xdr:clientData/>
  </xdr:twoCellAnchor>
  <xdr:twoCellAnchor editAs="oneCell">
    <xdr:from>
      <xdr:col>10</xdr:col>
      <xdr:colOff>143932</xdr:colOff>
      <xdr:row>15</xdr:row>
      <xdr:rowOff>101600</xdr:rowOff>
    </xdr:from>
    <xdr:to>
      <xdr:col>12</xdr:col>
      <xdr:colOff>846666</xdr:colOff>
      <xdr:row>26</xdr:row>
      <xdr:rowOff>114723</xdr:rowOff>
    </xdr:to>
    <xdr:graphicFrame macro="">
      <xdr:nvGraphicFramePr>
        <xdr:cNvPr id="53" name="Gráfico 52">
          <a:extLst>
            <a:ext uri="{FF2B5EF4-FFF2-40B4-BE49-F238E27FC236}">
              <a16:creationId xmlns:a16="http://schemas.microsoft.com/office/drawing/2014/main" id="{EC2E5360-D2DB-4C72-ADD7-271113210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991882</xdr:colOff>
      <xdr:row>15</xdr:row>
      <xdr:rowOff>102479</xdr:rowOff>
    </xdr:from>
    <xdr:to>
      <xdr:col>14</xdr:col>
      <xdr:colOff>1540933</xdr:colOff>
      <xdr:row>26</xdr:row>
      <xdr:rowOff>120652</xdr:rowOff>
    </xdr:to>
    <xdr:graphicFrame macro="">
      <xdr:nvGraphicFramePr>
        <xdr:cNvPr id="55" name="Gráfico 54">
          <a:extLst>
            <a:ext uri="{FF2B5EF4-FFF2-40B4-BE49-F238E27FC236}">
              <a16:creationId xmlns:a16="http://schemas.microsoft.com/office/drawing/2014/main" id="{55C1DD76-654A-46B6-8B5B-74EFE930C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135465</xdr:colOff>
      <xdr:row>0</xdr:row>
      <xdr:rowOff>76199</xdr:rowOff>
    </xdr:from>
    <xdr:to>
      <xdr:col>9</xdr:col>
      <xdr:colOff>457199</xdr:colOff>
      <xdr:row>4</xdr:row>
      <xdr:rowOff>36468</xdr:rowOff>
    </xdr:to>
    <mc:AlternateContent xmlns:mc="http://schemas.openxmlformats.org/markup-compatibility/2006" xmlns:tsle="http://schemas.microsoft.com/office/drawing/2012/timeslicer">
      <mc:Choice Requires="tsle">
        <xdr:graphicFrame macro="">
          <xdr:nvGraphicFramePr>
            <xdr:cNvPr id="4" name="Data">
              <a:extLst>
                <a:ext uri="{FF2B5EF4-FFF2-40B4-BE49-F238E27FC236}">
                  <a16:creationId xmlns:a16="http://schemas.microsoft.com/office/drawing/2014/main" id="{400DC199-37A4-43F5-D1CE-415E41F872F8}"/>
                </a:ext>
              </a:extLst>
            </xdr:cNvPr>
            <xdr:cNvGraphicFramePr/>
          </xdr:nvGraphicFramePr>
          <xdr:xfrm>
            <a:off x="0" y="0"/>
            <a:ext cx="0" cy="0"/>
          </xdr:xfrm>
          <a:graphic>
            <a:graphicData uri="http://schemas.microsoft.com/office/drawing/2012/timeslicer">
              <tsle:timeslicer name="Data"/>
            </a:graphicData>
          </a:graphic>
        </xdr:graphicFrame>
      </mc:Choice>
      <mc:Fallback xmlns="">
        <xdr:sp macro="" textlink="">
          <xdr:nvSpPr>
            <xdr:cNvPr id="0" name=""/>
            <xdr:cNvSpPr>
              <a:spLocks noTextEdit="1"/>
            </xdr:cNvSpPr>
          </xdr:nvSpPr>
          <xdr:spPr>
            <a:xfrm>
              <a:off x="135465" y="76199"/>
              <a:ext cx="5808134" cy="1128669"/>
            </a:xfrm>
            <a:prstGeom prst="rect">
              <a:avLst/>
            </a:prstGeom>
            <a:solidFill>
              <a:prstClr val="white"/>
            </a:solidFill>
            <a:ln w="1">
              <a:solidFill>
                <a:prstClr val="green"/>
              </a:solidFill>
            </a:ln>
          </xdr:spPr>
          <xdr:txBody>
            <a:bodyPr vertOverflow="clip" horzOverflow="clip"/>
            <a:lstStyle/>
            <a:p>
              <a:r>
                <a:rPr lang="pt-BR" sz="1100"/>
                <a:t>Linha do tempo: Funciona em Excel 2013 ou superior. Não mover ou redimensionar.</a:t>
              </a:r>
            </a:p>
          </xdr:txBody>
        </xdr:sp>
      </mc:Fallback>
    </mc:AlternateContent>
    <xdr:clientData/>
  </xdr:twoCellAnchor>
  <xdr:twoCellAnchor editAs="oneCell">
    <xdr:from>
      <xdr:col>15</xdr:col>
      <xdr:colOff>148166</xdr:colOff>
      <xdr:row>17</xdr:row>
      <xdr:rowOff>20107</xdr:rowOff>
    </xdr:from>
    <xdr:to>
      <xdr:col>17</xdr:col>
      <xdr:colOff>550333</xdr:colOff>
      <xdr:row>26</xdr:row>
      <xdr:rowOff>84666</xdr:rowOff>
    </xdr:to>
    <xdr:graphicFrame macro="">
      <xdr:nvGraphicFramePr>
        <xdr:cNvPr id="11" name="Gráfico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270924</xdr:colOff>
      <xdr:row>22</xdr:row>
      <xdr:rowOff>42348</xdr:rowOff>
    </xdr:from>
    <xdr:to>
      <xdr:col>1</xdr:col>
      <xdr:colOff>80990</xdr:colOff>
      <xdr:row>24</xdr:row>
      <xdr:rowOff>89480</xdr:rowOff>
    </xdr:to>
    <xdr:pic>
      <xdr:nvPicPr>
        <xdr:cNvPr id="26" name="Imagem 25">
          <a:extLst>
            <a:ext uri="{FF2B5EF4-FFF2-40B4-BE49-F238E27FC236}">
              <a16:creationId xmlns:a16="http://schemas.microsoft.com/office/drawing/2014/main" id="{492D88BE-AAE9-8F22-85E5-9982B175248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70924" y="4656681"/>
          <a:ext cx="419666" cy="419666"/>
        </a:xfrm>
        <a:prstGeom prst="rect">
          <a:avLst/>
        </a:prstGeom>
      </xdr:spPr>
    </xdr:pic>
    <xdr:clientData/>
  </xdr:twoCellAnchor>
  <xdr:twoCellAnchor editAs="oneCell">
    <xdr:from>
      <xdr:col>3</xdr:col>
      <xdr:colOff>482594</xdr:colOff>
      <xdr:row>22</xdr:row>
      <xdr:rowOff>50816</xdr:rowOff>
    </xdr:from>
    <xdr:to>
      <xdr:col>4</xdr:col>
      <xdr:colOff>292660</xdr:colOff>
      <xdr:row>24</xdr:row>
      <xdr:rowOff>97948</xdr:rowOff>
    </xdr:to>
    <xdr:pic>
      <xdr:nvPicPr>
        <xdr:cNvPr id="34" name="Imagem 33">
          <a:extLst>
            <a:ext uri="{FF2B5EF4-FFF2-40B4-BE49-F238E27FC236}">
              <a16:creationId xmlns:a16="http://schemas.microsoft.com/office/drawing/2014/main" id="{F9EBFE02-E96C-D061-3E8D-B7524887B5A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311394" y="4665149"/>
          <a:ext cx="419666" cy="419666"/>
        </a:xfrm>
        <a:prstGeom prst="rect">
          <a:avLst/>
        </a:prstGeom>
      </xdr:spPr>
    </xdr:pic>
    <xdr:clientData/>
  </xdr:twoCellAnchor>
  <xdr:twoCellAnchor editAs="oneCell">
    <xdr:from>
      <xdr:col>0</xdr:col>
      <xdr:colOff>287847</xdr:colOff>
      <xdr:row>16</xdr:row>
      <xdr:rowOff>15</xdr:rowOff>
    </xdr:from>
    <xdr:to>
      <xdr:col>1</xdr:col>
      <xdr:colOff>97913</xdr:colOff>
      <xdr:row>18</xdr:row>
      <xdr:rowOff>47147</xdr:rowOff>
    </xdr:to>
    <xdr:pic>
      <xdr:nvPicPr>
        <xdr:cNvPr id="38" name="Imagem 37">
          <a:extLst>
            <a:ext uri="{FF2B5EF4-FFF2-40B4-BE49-F238E27FC236}">
              <a16:creationId xmlns:a16="http://schemas.microsoft.com/office/drawing/2014/main" id="{70EDAFB6-FF33-3C9B-2CE3-38EB46CDEBC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87847" y="3496748"/>
          <a:ext cx="419666" cy="419666"/>
        </a:xfrm>
        <a:prstGeom prst="rect">
          <a:avLst/>
        </a:prstGeom>
      </xdr:spPr>
    </xdr:pic>
    <xdr:clientData/>
  </xdr:twoCellAnchor>
  <xdr:twoCellAnchor>
    <xdr:from>
      <xdr:col>1</xdr:col>
      <xdr:colOff>571355</xdr:colOff>
      <xdr:row>9</xdr:row>
      <xdr:rowOff>111743</xdr:rowOff>
    </xdr:from>
    <xdr:to>
      <xdr:col>5</xdr:col>
      <xdr:colOff>57195</xdr:colOff>
      <xdr:row>12</xdr:row>
      <xdr:rowOff>40725</xdr:rowOff>
    </xdr:to>
    <xdr:sp macro="" textlink="'Fluxo de Caixa'!M1">
      <xdr:nvSpPr>
        <xdr:cNvPr id="12" name="Retângulo 11">
          <a:extLst>
            <a:ext uri="{FF2B5EF4-FFF2-40B4-BE49-F238E27FC236}">
              <a16:creationId xmlns:a16="http://schemas.microsoft.com/office/drawing/2014/main" id="{A4686901-B495-5098-5507-E72417FCDF1B}"/>
            </a:ext>
          </a:extLst>
        </xdr:cNvPr>
        <xdr:cNvSpPr/>
      </xdr:nvSpPr>
      <xdr:spPr>
        <a:xfrm>
          <a:off x="1180955" y="2245343"/>
          <a:ext cx="1924240" cy="5131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10DC755-FCB6-40BB-9DE9-1C4D94C6E3F5}" type="TxLink">
            <a:rPr lang="en-US" sz="1600" b="1" i="0" u="none" strike="noStrike">
              <a:solidFill>
                <a:schemeClr val="bg1"/>
              </a:solidFill>
              <a:latin typeface="Calibri"/>
              <a:ea typeface="Calibri"/>
              <a:cs typeface="Calibri"/>
            </a:rPr>
            <a:pPr marL="0" indent="0" algn="ctr"/>
            <a:t> R$ 11,60 </a:t>
          </a:fld>
          <a:endParaRPr lang="pt-BR" sz="1600" b="1" i="0" u="none" strike="noStrike">
            <a:solidFill>
              <a:schemeClr val="bg1"/>
            </a:solidFill>
            <a:latin typeface="Calibri"/>
            <a:ea typeface="Calibri"/>
            <a:cs typeface="Calibri"/>
          </a:endParaRPr>
        </a:p>
      </xdr:txBody>
    </xdr:sp>
    <xdr:clientData/>
  </xdr:twoCellAnchor>
  <xdr:twoCellAnchor>
    <xdr:from>
      <xdr:col>2</xdr:col>
      <xdr:colOff>448745</xdr:colOff>
      <xdr:row>11</xdr:row>
      <xdr:rowOff>75977</xdr:rowOff>
    </xdr:from>
    <xdr:to>
      <xdr:col>4</xdr:col>
      <xdr:colOff>143945</xdr:colOff>
      <xdr:row>12</xdr:row>
      <xdr:rowOff>124758</xdr:rowOff>
    </xdr:to>
    <xdr:sp macro="" textlink="$BP$3">
      <xdr:nvSpPr>
        <xdr:cNvPr id="13" name="Retângulo: Cantos Arredondados 12">
          <a:extLst>
            <a:ext uri="{FF2B5EF4-FFF2-40B4-BE49-F238E27FC236}">
              <a16:creationId xmlns:a16="http://schemas.microsoft.com/office/drawing/2014/main" id="{33B67E6B-41FD-A219-ED89-C0A65F631961}"/>
            </a:ext>
          </a:extLst>
        </xdr:cNvPr>
        <xdr:cNvSpPr/>
      </xdr:nvSpPr>
      <xdr:spPr>
        <a:xfrm>
          <a:off x="1667945" y="2599044"/>
          <a:ext cx="914400" cy="24351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800" b="1" kern="1200">
              <a:solidFill>
                <a:schemeClr val="bg1"/>
              </a:solidFill>
              <a:latin typeface="+mn-lt"/>
              <a:ea typeface="+mn-ea"/>
              <a:cs typeface="+mn-cs"/>
            </a:rPr>
            <a:t>ENVELOPE</a:t>
          </a:r>
        </a:p>
      </xdr:txBody>
    </xdr:sp>
    <xdr:clientData/>
  </xdr:twoCellAnchor>
  <xdr:twoCellAnchor>
    <xdr:from>
      <xdr:col>1</xdr:col>
      <xdr:colOff>480597</xdr:colOff>
      <xdr:row>6</xdr:row>
      <xdr:rowOff>69133</xdr:rowOff>
    </xdr:from>
    <xdr:to>
      <xdr:col>5</xdr:col>
      <xdr:colOff>158864</xdr:colOff>
      <xdr:row>8</xdr:row>
      <xdr:rowOff>77600</xdr:rowOff>
    </xdr:to>
    <xdr:sp macro="" textlink="'Fluxo de Caixa'!M2">
      <xdr:nvSpPr>
        <xdr:cNvPr id="14" name="Retângulo 13">
          <a:extLst>
            <a:ext uri="{FF2B5EF4-FFF2-40B4-BE49-F238E27FC236}">
              <a16:creationId xmlns:a16="http://schemas.microsoft.com/office/drawing/2014/main" id="{A6967681-DAED-6903-EE7D-C6BE84D20433}"/>
            </a:ext>
          </a:extLst>
        </xdr:cNvPr>
        <xdr:cNvSpPr/>
      </xdr:nvSpPr>
      <xdr:spPr>
        <a:xfrm>
          <a:off x="1090197" y="1618533"/>
          <a:ext cx="2116667" cy="3979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0C2731-63AC-4A7F-88F3-7F0D56DE3C22}" type="TxLink">
            <a:rPr lang="en-US" sz="1600" b="1" i="0" u="none" strike="noStrike">
              <a:solidFill>
                <a:schemeClr val="bg1"/>
              </a:solidFill>
              <a:latin typeface="Calibri"/>
              <a:ea typeface="Calibri"/>
              <a:cs typeface="Calibri"/>
            </a:rPr>
            <a:pPr algn="ctr"/>
            <a:t> R$ 962,33 </a:t>
          </a:fld>
          <a:endParaRPr lang="pt-BR" sz="1600" b="1">
            <a:solidFill>
              <a:schemeClr val="bg1"/>
            </a:solidFill>
          </a:endParaRPr>
        </a:p>
      </xdr:txBody>
    </xdr:sp>
    <xdr:clientData/>
  </xdr:twoCellAnchor>
  <xdr:twoCellAnchor>
    <xdr:from>
      <xdr:col>2</xdr:col>
      <xdr:colOff>448744</xdr:colOff>
      <xdr:row>7</xdr:row>
      <xdr:rowOff>177582</xdr:rowOff>
    </xdr:from>
    <xdr:to>
      <xdr:col>4</xdr:col>
      <xdr:colOff>222259</xdr:colOff>
      <xdr:row>8</xdr:row>
      <xdr:rowOff>187667</xdr:rowOff>
    </xdr:to>
    <xdr:sp macro="" textlink="$BP$3">
      <xdr:nvSpPr>
        <xdr:cNvPr id="15" name="Retângulo: Cantos Arredondados 14">
          <a:extLst>
            <a:ext uri="{FF2B5EF4-FFF2-40B4-BE49-F238E27FC236}">
              <a16:creationId xmlns:a16="http://schemas.microsoft.com/office/drawing/2014/main" id="{9C54CC1F-D171-D4F2-145C-3C1B42AFDF80}"/>
            </a:ext>
          </a:extLst>
        </xdr:cNvPr>
        <xdr:cNvSpPr/>
      </xdr:nvSpPr>
      <xdr:spPr>
        <a:xfrm>
          <a:off x="1667944" y="1921715"/>
          <a:ext cx="992715" cy="20481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800" b="1" kern="1200">
              <a:solidFill>
                <a:schemeClr val="bg1"/>
              </a:solidFill>
              <a:latin typeface="+mn-lt"/>
              <a:ea typeface="+mn-ea"/>
              <a:cs typeface="+mn-cs"/>
            </a:rPr>
            <a:t>MERCADO</a:t>
          </a:r>
          <a:r>
            <a:rPr lang="pt-BR" sz="800" b="1" kern="1200" baseline="0">
              <a:solidFill>
                <a:schemeClr val="bg1"/>
              </a:solidFill>
              <a:latin typeface="+mn-lt"/>
              <a:ea typeface="+mn-ea"/>
              <a:cs typeface="+mn-cs"/>
            </a:rPr>
            <a:t> PAGO</a:t>
          </a:r>
          <a:endParaRPr lang="pt-BR" sz="800" b="1" kern="1200">
            <a:solidFill>
              <a:schemeClr val="bg1"/>
            </a:solidFill>
            <a:latin typeface="+mn-lt"/>
            <a:ea typeface="+mn-ea"/>
            <a:cs typeface="+mn-cs"/>
          </a:endParaRPr>
        </a:p>
      </xdr:txBody>
    </xdr:sp>
    <xdr:clientData/>
  </xdr:twoCellAnchor>
  <xdr:twoCellAnchor>
    <xdr:from>
      <xdr:col>0</xdr:col>
      <xdr:colOff>590551</xdr:colOff>
      <xdr:row>10</xdr:row>
      <xdr:rowOff>133852</xdr:rowOff>
    </xdr:from>
    <xdr:to>
      <xdr:col>2</xdr:col>
      <xdr:colOff>364066</xdr:colOff>
      <xdr:row>11</xdr:row>
      <xdr:rowOff>143937</xdr:rowOff>
    </xdr:to>
    <xdr:sp macro="" textlink="$BP$3">
      <xdr:nvSpPr>
        <xdr:cNvPr id="16" name="Retângulo: Cantos Arredondados 15">
          <a:extLst>
            <a:ext uri="{FF2B5EF4-FFF2-40B4-BE49-F238E27FC236}">
              <a16:creationId xmlns:a16="http://schemas.microsoft.com/office/drawing/2014/main" id="{165387F3-85A7-FDEC-4C9A-011BFEDA4AED}"/>
            </a:ext>
          </a:extLst>
        </xdr:cNvPr>
        <xdr:cNvSpPr/>
      </xdr:nvSpPr>
      <xdr:spPr>
        <a:xfrm>
          <a:off x="590551" y="2462185"/>
          <a:ext cx="992715" cy="20481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1200" b="1" kern="1200">
              <a:solidFill>
                <a:schemeClr val="bg1"/>
              </a:solidFill>
              <a:latin typeface="+mn-lt"/>
              <a:ea typeface="+mn-ea"/>
              <a:cs typeface="+mn-cs"/>
            </a:rPr>
            <a:t>CAIXA</a:t>
          </a:r>
        </a:p>
      </xdr:txBody>
    </xdr:sp>
    <xdr:clientData/>
  </xdr:twoCellAnchor>
  <xdr:twoCellAnchor editAs="oneCell">
    <xdr:from>
      <xdr:col>1</xdr:col>
      <xdr:colOff>160867</xdr:colOff>
      <xdr:row>7</xdr:row>
      <xdr:rowOff>127004</xdr:rowOff>
    </xdr:from>
    <xdr:to>
      <xdr:col>2</xdr:col>
      <xdr:colOff>160952</xdr:colOff>
      <xdr:row>10</xdr:row>
      <xdr:rowOff>152489</xdr:rowOff>
    </xdr:to>
    <xdr:pic>
      <xdr:nvPicPr>
        <xdr:cNvPr id="44" name="Imagem 43">
          <a:extLst>
            <a:ext uri="{FF2B5EF4-FFF2-40B4-BE49-F238E27FC236}">
              <a16:creationId xmlns:a16="http://schemas.microsoft.com/office/drawing/2014/main" id="{8C47283A-5D75-3B1C-5DBA-7F0DBFD8DD3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0467" y="1871137"/>
          <a:ext cx="609685" cy="609685"/>
        </a:xfrm>
        <a:prstGeom prst="rect">
          <a:avLst/>
        </a:prstGeom>
      </xdr:spPr>
    </xdr:pic>
    <xdr:clientData/>
  </xdr:twoCellAnchor>
  <xdr:twoCellAnchor>
    <xdr:from>
      <xdr:col>5</xdr:col>
      <xdr:colOff>111021</xdr:colOff>
      <xdr:row>6</xdr:row>
      <xdr:rowOff>42683</xdr:rowOff>
    </xdr:from>
    <xdr:to>
      <xdr:col>5</xdr:col>
      <xdr:colOff>111141</xdr:colOff>
      <xdr:row>13</xdr:row>
      <xdr:rowOff>11550</xdr:rowOff>
    </xdr:to>
    <xdr:cxnSp macro="">
      <xdr:nvCxnSpPr>
        <xdr:cNvPr id="48" name="Conector reto 47">
          <a:extLst>
            <a:ext uri="{FF2B5EF4-FFF2-40B4-BE49-F238E27FC236}">
              <a16:creationId xmlns:a16="http://schemas.microsoft.com/office/drawing/2014/main" id="{0F6B2B7D-4554-D3A3-68CA-7509345622A3}"/>
            </a:ext>
          </a:extLst>
        </xdr:cNvPr>
        <xdr:cNvCxnSpPr/>
      </xdr:nvCxnSpPr>
      <xdr:spPr>
        <a:xfrm flipH="1">
          <a:off x="3159021" y="1592083"/>
          <a:ext cx="120" cy="133200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414867</xdr:colOff>
      <xdr:row>7</xdr:row>
      <xdr:rowOff>115145</xdr:rowOff>
    </xdr:from>
    <xdr:to>
      <xdr:col>6</xdr:col>
      <xdr:colOff>414952</xdr:colOff>
      <xdr:row>10</xdr:row>
      <xdr:rowOff>131758</xdr:rowOff>
    </xdr:to>
    <xdr:pic>
      <xdr:nvPicPr>
        <xdr:cNvPr id="56" name="Imagem 55">
          <a:extLst>
            <a:ext uri="{FF2B5EF4-FFF2-40B4-BE49-F238E27FC236}">
              <a16:creationId xmlns:a16="http://schemas.microsoft.com/office/drawing/2014/main" id="{81A8973E-B23D-6172-C144-971B63CEC90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462867" y="1859278"/>
          <a:ext cx="609685" cy="600813"/>
        </a:xfrm>
        <a:prstGeom prst="rect">
          <a:avLst/>
        </a:prstGeom>
      </xdr:spPr>
    </xdr:pic>
    <xdr:clientData/>
  </xdr:twoCellAnchor>
  <xdr:twoCellAnchor>
    <xdr:from>
      <xdr:col>5</xdr:col>
      <xdr:colOff>186272</xdr:colOff>
      <xdr:row>10</xdr:row>
      <xdr:rowOff>131490</xdr:rowOff>
    </xdr:from>
    <xdr:to>
      <xdr:col>6</xdr:col>
      <xdr:colOff>569387</xdr:colOff>
      <xdr:row>11</xdr:row>
      <xdr:rowOff>141575</xdr:rowOff>
    </xdr:to>
    <xdr:sp macro="" textlink="$BP$3">
      <xdr:nvSpPr>
        <xdr:cNvPr id="57" name="Retângulo: Cantos Arredondados 56">
          <a:extLst>
            <a:ext uri="{FF2B5EF4-FFF2-40B4-BE49-F238E27FC236}">
              <a16:creationId xmlns:a16="http://schemas.microsoft.com/office/drawing/2014/main" id="{6878DA03-619C-48A2-8843-0BFB5E2125B4}"/>
            </a:ext>
          </a:extLst>
        </xdr:cNvPr>
        <xdr:cNvSpPr/>
      </xdr:nvSpPr>
      <xdr:spPr>
        <a:xfrm>
          <a:off x="3234272" y="2459823"/>
          <a:ext cx="992715" cy="20481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1200" b="1" kern="1200">
              <a:solidFill>
                <a:schemeClr val="bg1"/>
              </a:solidFill>
              <a:latin typeface="+mn-lt"/>
              <a:ea typeface="+mn-ea"/>
              <a:cs typeface="+mn-cs"/>
            </a:rPr>
            <a:t>TOTAL</a:t>
          </a:r>
        </a:p>
      </xdr:txBody>
    </xdr:sp>
    <xdr:clientData/>
  </xdr:twoCellAnchor>
  <xdr:twoCellAnchor>
    <xdr:from>
      <xdr:col>6</xdr:col>
      <xdr:colOff>190354</xdr:colOff>
      <xdr:row>8</xdr:row>
      <xdr:rowOff>52474</xdr:rowOff>
    </xdr:from>
    <xdr:to>
      <xdr:col>9</xdr:col>
      <xdr:colOff>285794</xdr:colOff>
      <xdr:row>10</xdr:row>
      <xdr:rowOff>176190</xdr:rowOff>
    </xdr:to>
    <xdr:sp macro="" textlink="'Fluxo de Caixa'!M4">
      <xdr:nvSpPr>
        <xdr:cNvPr id="58" name="Retângulo 57">
          <a:extLst>
            <a:ext uri="{FF2B5EF4-FFF2-40B4-BE49-F238E27FC236}">
              <a16:creationId xmlns:a16="http://schemas.microsoft.com/office/drawing/2014/main" id="{F85767C3-BBAA-D244-7348-DF960CAE5266}"/>
            </a:ext>
          </a:extLst>
        </xdr:cNvPr>
        <xdr:cNvSpPr/>
      </xdr:nvSpPr>
      <xdr:spPr>
        <a:xfrm>
          <a:off x="3847954" y="1991341"/>
          <a:ext cx="1924240" cy="5131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9E427BD-C13A-4754-8FC2-22686DBE5C8B}" type="TxLink">
            <a:rPr lang="en-US" sz="2000" b="1" i="0" u="none" strike="noStrike">
              <a:solidFill>
                <a:schemeClr val="bg1"/>
              </a:solidFill>
              <a:latin typeface="Calibri"/>
              <a:ea typeface="Calibri"/>
              <a:cs typeface="Calibri"/>
            </a:rPr>
            <a:pPr marL="0" indent="0" algn="ctr"/>
            <a:t> R$ 973,93 </a:t>
          </a:fld>
          <a:endParaRPr lang="pt-BR" sz="2000" b="1" i="0" u="none" strike="noStrike">
            <a:solidFill>
              <a:schemeClr val="bg1"/>
            </a:solidFill>
            <a:latin typeface="Calibri"/>
            <a:ea typeface="Calibri"/>
            <a:cs typeface="Calibri"/>
          </a:endParaRPr>
        </a:p>
      </xdr:txBody>
    </xdr:sp>
    <xdr:clientData/>
  </xdr:twoCellAnchor>
  <xdr:twoCellAnchor>
    <xdr:from>
      <xdr:col>10</xdr:col>
      <xdr:colOff>135467</xdr:colOff>
      <xdr:row>5</xdr:row>
      <xdr:rowOff>4232</xdr:rowOff>
    </xdr:from>
    <xdr:to>
      <xdr:col>12</xdr:col>
      <xdr:colOff>846666</xdr:colOff>
      <xdr:row>14</xdr:row>
      <xdr:rowOff>135466</xdr:rowOff>
    </xdr:to>
    <xdr:graphicFrame macro="">
      <xdr:nvGraphicFramePr>
        <xdr:cNvPr id="43" name="Gráfico 42">
          <a:extLst>
            <a:ext uri="{FF2B5EF4-FFF2-40B4-BE49-F238E27FC236}">
              <a16:creationId xmlns:a16="http://schemas.microsoft.com/office/drawing/2014/main" id="{CAAE19E7-8BF3-4C84-B735-69CDBB2BCA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990600</xdr:colOff>
      <xdr:row>5</xdr:row>
      <xdr:rowOff>4232</xdr:rowOff>
    </xdr:from>
    <xdr:to>
      <xdr:col>14</xdr:col>
      <xdr:colOff>1532467</xdr:colOff>
      <xdr:row>14</xdr:row>
      <xdr:rowOff>152399</xdr:rowOff>
    </xdr:to>
    <xdr:graphicFrame macro="">
      <xdr:nvGraphicFramePr>
        <xdr:cNvPr id="45" name="Gráfico 44">
          <a:extLst>
            <a:ext uri="{FF2B5EF4-FFF2-40B4-BE49-F238E27FC236}">
              <a16:creationId xmlns:a16="http://schemas.microsoft.com/office/drawing/2014/main" id="{459019DE-8956-4ADE-A791-7747DF298B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10</xdr:col>
      <xdr:colOff>140546</xdr:colOff>
      <xdr:row>0</xdr:row>
      <xdr:rowOff>84666</xdr:rowOff>
    </xdr:from>
    <xdr:to>
      <xdr:col>10</xdr:col>
      <xdr:colOff>1439334</xdr:colOff>
      <xdr:row>4</xdr:row>
      <xdr:rowOff>59268</xdr:rowOff>
    </xdr:to>
    <mc:AlternateContent xmlns:mc="http://schemas.openxmlformats.org/markup-compatibility/2006" xmlns:a14="http://schemas.microsoft.com/office/drawing/2010/main">
      <mc:Choice Requires="a14">
        <xdr:graphicFrame macro="">
          <xdr:nvGraphicFramePr>
            <xdr:cNvPr id="46" name="Mês">
              <a:extLst>
                <a:ext uri="{FF2B5EF4-FFF2-40B4-BE49-F238E27FC236}">
                  <a16:creationId xmlns:a16="http://schemas.microsoft.com/office/drawing/2014/main" id="{9567A586-8655-478B-B315-4E8ED7D8FF1C}"/>
                </a:ext>
              </a:extLst>
            </xdr:cNvPr>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6236546" y="84666"/>
              <a:ext cx="1298788" cy="1143002"/>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6</xdr:col>
      <xdr:colOff>533401</xdr:colOff>
      <xdr:row>21</xdr:row>
      <xdr:rowOff>114050</xdr:rowOff>
    </xdr:from>
    <xdr:to>
      <xdr:col>9</xdr:col>
      <xdr:colOff>457194</xdr:colOff>
      <xdr:row>26</xdr:row>
      <xdr:rowOff>118546</xdr:rowOff>
    </xdr:to>
    <xdr:sp macro="" textlink="'Fluxo de Caixa'!V5">
      <xdr:nvSpPr>
        <xdr:cNvPr id="29" name="Retângulo: Cantos Arredondados 28">
          <a:extLst>
            <a:ext uri="{FF2B5EF4-FFF2-40B4-BE49-F238E27FC236}">
              <a16:creationId xmlns:a16="http://schemas.microsoft.com/office/drawing/2014/main" id="{65B3DE79-0D6E-45CA-B19A-C2BCF61A6632}"/>
            </a:ext>
          </a:extLst>
        </xdr:cNvPr>
        <xdr:cNvSpPr/>
      </xdr:nvSpPr>
      <xdr:spPr>
        <a:xfrm>
          <a:off x="4191001" y="4542117"/>
          <a:ext cx="1752593" cy="935829"/>
        </a:xfrm>
        <a:prstGeom prst="roundRect">
          <a:avLst/>
        </a:prstGeom>
        <a:solidFill>
          <a:schemeClr val="bg2">
            <a:lumMod val="10000"/>
          </a:schemeClr>
        </a:solidFill>
        <a:ln w="3175">
          <a:solidFill>
            <a:schemeClr val="bg1"/>
          </a:solidFill>
        </a:ln>
        <a:effectLst>
          <a:outerShdw blurRad="149987" dist="16510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fld id="{3D7FE111-16D9-4D25-8F8F-C49D038AB4A5}" type="TxLink">
            <a:rPr lang="en-US" sz="1600" b="1" i="0" u="none" strike="noStrike" kern="1200">
              <a:solidFill>
                <a:schemeClr val="bg1"/>
              </a:solidFill>
              <a:latin typeface="Calibri"/>
              <a:ea typeface="Calibri"/>
              <a:cs typeface="Calibri"/>
            </a:rPr>
            <a:pPr marL="0" indent="0" algn="r"/>
            <a:t> R$3.569,68 </a:t>
          </a:fld>
          <a:endParaRPr lang="en-US" sz="1600" b="1" i="0" u="none" strike="noStrike" kern="1200">
            <a:solidFill>
              <a:schemeClr val="bg1"/>
            </a:solidFill>
            <a:latin typeface="Calibri"/>
            <a:ea typeface="Calibri"/>
            <a:cs typeface="Calibri"/>
          </a:endParaRPr>
        </a:p>
      </xdr:txBody>
    </xdr:sp>
    <xdr:clientData/>
  </xdr:twoCellAnchor>
  <xdr:twoCellAnchor>
    <xdr:from>
      <xdr:col>6</xdr:col>
      <xdr:colOff>506936</xdr:colOff>
      <xdr:row>24</xdr:row>
      <xdr:rowOff>71481</xdr:rowOff>
    </xdr:from>
    <xdr:to>
      <xdr:col>7</xdr:col>
      <xdr:colOff>601127</xdr:colOff>
      <xdr:row>28</xdr:row>
      <xdr:rowOff>29941</xdr:rowOff>
    </xdr:to>
    <xdr:sp macro="" textlink="$BP$11">
      <xdr:nvSpPr>
        <xdr:cNvPr id="33" name="Retângulo: Cantos Arredondados 32">
          <a:extLst>
            <a:ext uri="{FF2B5EF4-FFF2-40B4-BE49-F238E27FC236}">
              <a16:creationId xmlns:a16="http://schemas.microsoft.com/office/drawing/2014/main" id="{791CBF87-2565-4B63-A9F6-395575AAB89A}"/>
            </a:ext>
          </a:extLst>
        </xdr:cNvPr>
        <xdr:cNvSpPr/>
      </xdr:nvSpPr>
      <xdr:spPr>
        <a:xfrm>
          <a:off x="4164536" y="5058348"/>
          <a:ext cx="703791" cy="70352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800" b="1" kern="1200">
              <a:solidFill>
                <a:schemeClr val="bg1"/>
              </a:solidFill>
              <a:latin typeface="+mn-lt"/>
              <a:ea typeface="+mn-ea"/>
              <a:cs typeface="+mn-cs"/>
            </a:rPr>
            <a:t>VALOR</a:t>
          </a:r>
          <a:r>
            <a:rPr lang="pt-BR" sz="800" b="1" kern="1200" baseline="0">
              <a:solidFill>
                <a:schemeClr val="bg1"/>
              </a:solidFill>
              <a:latin typeface="+mn-lt"/>
              <a:ea typeface="+mn-ea"/>
              <a:cs typeface="+mn-cs"/>
            </a:rPr>
            <a:t> FATURAS</a:t>
          </a:r>
          <a:endParaRPr lang="pt-BR" sz="800" b="1" kern="1200">
            <a:solidFill>
              <a:schemeClr val="bg1"/>
            </a:solidFill>
            <a:latin typeface="+mn-lt"/>
            <a:ea typeface="+mn-ea"/>
            <a:cs typeface="+mn-cs"/>
          </a:endParaRPr>
        </a:p>
      </xdr:txBody>
    </xdr:sp>
    <xdr:clientData/>
  </xdr:twoCellAnchor>
  <xdr:twoCellAnchor editAs="oneCell">
    <xdr:from>
      <xdr:col>7</xdr:col>
      <xdr:colOff>33865</xdr:colOff>
      <xdr:row>22</xdr:row>
      <xdr:rowOff>76200</xdr:rowOff>
    </xdr:from>
    <xdr:to>
      <xdr:col>7</xdr:col>
      <xdr:colOff>437333</xdr:colOff>
      <xdr:row>24</xdr:row>
      <xdr:rowOff>84666</xdr:rowOff>
    </xdr:to>
    <xdr:pic>
      <xdr:nvPicPr>
        <xdr:cNvPr id="47" name="Imagem 46">
          <a:extLst>
            <a:ext uri="{FF2B5EF4-FFF2-40B4-BE49-F238E27FC236}">
              <a16:creationId xmlns:a16="http://schemas.microsoft.com/office/drawing/2014/main" id="{75988FE3-AA11-EB10-B0B3-AD5D871A68F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4301065" y="4690533"/>
          <a:ext cx="403468" cy="381000"/>
        </a:xfrm>
        <a:prstGeom prst="rect">
          <a:avLst/>
        </a:prstGeom>
      </xdr:spPr>
    </xdr:pic>
    <xdr:clientData/>
  </xdr:twoCellAnchor>
  <xdr:twoCellAnchor>
    <xdr:from>
      <xdr:col>7</xdr:col>
      <xdr:colOff>354533</xdr:colOff>
      <xdr:row>23</xdr:row>
      <xdr:rowOff>139215</xdr:rowOff>
    </xdr:from>
    <xdr:to>
      <xdr:col>9</xdr:col>
      <xdr:colOff>558798</xdr:colOff>
      <xdr:row>25</xdr:row>
      <xdr:rowOff>16934</xdr:rowOff>
    </xdr:to>
    <xdr:sp macro="" textlink="$BP$11">
      <xdr:nvSpPr>
        <xdr:cNvPr id="49" name="Retângulo: Cantos Arredondados 48">
          <a:extLst>
            <a:ext uri="{FF2B5EF4-FFF2-40B4-BE49-F238E27FC236}">
              <a16:creationId xmlns:a16="http://schemas.microsoft.com/office/drawing/2014/main" id="{265C623E-DB2A-4698-A5A8-FD6CA1CE9552}"/>
            </a:ext>
          </a:extLst>
        </xdr:cNvPr>
        <xdr:cNvSpPr/>
      </xdr:nvSpPr>
      <xdr:spPr>
        <a:xfrm>
          <a:off x="4621733" y="4939815"/>
          <a:ext cx="1423465" cy="2502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800" b="1" kern="1200" baseline="0">
              <a:solidFill>
                <a:srgbClr val="FFFF00"/>
              </a:solidFill>
              <a:latin typeface="+mn-lt"/>
              <a:ea typeface="+mn-ea"/>
              <a:cs typeface="+mn-cs"/>
            </a:rPr>
            <a:t>Fechamento 09/05/25</a:t>
          </a:r>
        </a:p>
      </xdr:txBody>
    </xdr:sp>
    <xdr:clientData/>
  </xdr:twoCellAnchor>
  <xdr:twoCellAnchor>
    <xdr:from>
      <xdr:col>7</xdr:col>
      <xdr:colOff>354533</xdr:colOff>
      <xdr:row>24</xdr:row>
      <xdr:rowOff>96881</xdr:rowOff>
    </xdr:from>
    <xdr:to>
      <xdr:col>9</xdr:col>
      <xdr:colOff>558798</xdr:colOff>
      <xdr:row>28</xdr:row>
      <xdr:rowOff>55341</xdr:rowOff>
    </xdr:to>
    <xdr:sp macro="" textlink="$BP$11">
      <xdr:nvSpPr>
        <xdr:cNvPr id="19" name="Retângulo: Cantos Arredondados 18">
          <a:extLst>
            <a:ext uri="{FF2B5EF4-FFF2-40B4-BE49-F238E27FC236}">
              <a16:creationId xmlns:a16="http://schemas.microsoft.com/office/drawing/2014/main" id="{04526CF7-2663-740F-8494-9C84C3A64D78}"/>
            </a:ext>
          </a:extLst>
        </xdr:cNvPr>
        <xdr:cNvSpPr/>
      </xdr:nvSpPr>
      <xdr:spPr>
        <a:xfrm>
          <a:off x="4621733" y="5083748"/>
          <a:ext cx="1423465" cy="70352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800" b="1" kern="1200" baseline="0">
              <a:solidFill>
                <a:srgbClr val="FFFF00"/>
              </a:solidFill>
              <a:latin typeface="+mn-lt"/>
              <a:ea typeface="+mn-ea"/>
              <a:cs typeface="+mn-cs"/>
            </a:rPr>
            <a:t>Vencimento 14/05/25</a:t>
          </a:r>
        </a:p>
      </xdr:txBody>
    </xdr:sp>
    <xdr:clientData/>
  </xdr:twoCellAnchor>
  <xdr:twoCellAnchor editAs="oneCell">
    <xdr:from>
      <xdr:col>14</xdr:col>
      <xdr:colOff>33867</xdr:colOff>
      <xdr:row>0</xdr:row>
      <xdr:rowOff>84666</xdr:rowOff>
    </xdr:from>
    <xdr:to>
      <xdr:col>14</xdr:col>
      <xdr:colOff>1549400</xdr:colOff>
      <xdr:row>4</xdr:row>
      <xdr:rowOff>61066</xdr:rowOff>
    </xdr:to>
    <mc:AlternateContent xmlns:mc="http://schemas.openxmlformats.org/markup-compatibility/2006" xmlns:a14="http://schemas.microsoft.com/office/drawing/2010/main">
      <mc:Choice Requires="a14">
        <xdr:graphicFrame macro="">
          <xdr:nvGraphicFramePr>
            <xdr:cNvPr id="23" name="STATUS">
              <a:extLst>
                <a:ext uri="{FF2B5EF4-FFF2-40B4-BE49-F238E27FC236}">
                  <a16:creationId xmlns:a16="http://schemas.microsoft.com/office/drawing/2014/main" id="{6017C13B-67FE-4A37-9EDF-87EE25859AD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2090400" y="84666"/>
              <a:ext cx="1515533" cy="11448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0.77382</cdr:x>
      <cdr:y>0</cdr:y>
    </cdr:from>
    <cdr:to>
      <cdr:x>1</cdr:x>
      <cdr:y>0.37944</cdr:y>
    </cdr:to>
    <cdr:sp macro="" textlink="Gráficos!$AD$2">
      <cdr:nvSpPr>
        <cdr:cNvPr id="2" name="Retângulo 1">
          <a:extLst xmlns:a="http://schemas.openxmlformats.org/drawingml/2006/main">
            <a:ext uri="{FF2B5EF4-FFF2-40B4-BE49-F238E27FC236}">
              <a16:creationId xmlns:a16="http://schemas.microsoft.com/office/drawing/2014/main" id="{26A1F2E4-73E2-EDB0-7750-446DAE7331E8}"/>
            </a:ext>
          </a:extLst>
        </cdr:cNvPr>
        <cdr:cNvSpPr/>
      </cdr:nvSpPr>
      <cdr:spPr>
        <a:xfrm xmlns:a="http://schemas.openxmlformats.org/drawingml/2006/main">
          <a:off x="5669845" y="0"/>
          <a:ext cx="1657240" cy="1064536"/>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F223E0AD-043A-4136-A9C8-89B13CCE10CD}" type="TxLink">
            <a:rPr lang="en-US" sz="1000" b="1" i="0" u="none" strike="noStrike" kern="1200">
              <a:solidFill>
                <a:schemeClr val="accent2">
                  <a:lumMod val="75000"/>
                </a:schemeClr>
              </a:solidFill>
              <a:latin typeface="Calibri"/>
              <a:ea typeface="Calibri"/>
              <a:cs typeface="Calibri"/>
            </a:rPr>
            <a:pPr marL="0" indent="0" algn="ctr"/>
            <a:t> R$20,65 </a:t>
          </a:fld>
          <a:endParaRPr lang="pt-BR" sz="1000" b="1" i="0" u="none" strike="noStrike" kern="1200">
            <a:solidFill>
              <a:schemeClr val="accent2">
                <a:lumMod val="75000"/>
              </a:schemeClr>
            </a:solidFill>
            <a:latin typeface="Calibri"/>
            <a:ea typeface="Calibri"/>
            <a:cs typeface="Calibri"/>
          </a:endParaRPr>
        </a:p>
      </cdr:txBody>
    </cdr:sp>
  </cdr:relSizeAnchor>
  <cdr:relSizeAnchor xmlns:cdr="http://schemas.openxmlformats.org/drawingml/2006/chartDrawing">
    <cdr:from>
      <cdr:x>0.77121</cdr:x>
      <cdr:y>0</cdr:y>
    </cdr:from>
    <cdr:to>
      <cdr:x>1</cdr:x>
      <cdr:y>0.20106</cdr:y>
    </cdr:to>
    <cdr:sp macro="" textlink="">
      <cdr:nvSpPr>
        <cdr:cNvPr id="3" name="Retângulo 2">
          <a:extLst xmlns:a="http://schemas.openxmlformats.org/drawingml/2006/main">
            <a:ext uri="{FF2B5EF4-FFF2-40B4-BE49-F238E27FC236}">
              <a16:creationId xmlns:a16="http://schemas.microsoft.com/office/drawing/2014/main" id="{96F3D4BE-5144-3460-F75D-D21EE43C4ABC}"/>
            </a:ext>
          </a:extLst>
        </cdr:cNvPr>
        <cdr:cNvSpPr/>
      </cdr:nvSpPr>
      <cdr:spPr>
        <a:xfrm xmlns:a="http://schemas.openxmlformats.org/drawingml/2006/main">
          <a:off x="2878872" y="0"/>
          <a:ext cx="854057" cy="35745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pt-BR" sz="1000" b="1" kern="1200">
              <a:solidFill>
                <a:sysClr val="windowText" lastClr="000000"/>
              </a:solidFill>
            </a:rPr>
            <a:t>Média</a:t>
          </a:r>
        </a:p>
      </cdr:txBody>
    </cdr:sp>
  </cdr:relSizeAnchor>
  <cdr:relSizeAnchor xmlns:cdr="http://schemas.openxmlformats.org/drawingml/2006/chartDrawing">
    <cdr:from>
      <cdr:x>0</cdr:x>
      <cdr:y>0</cdr:y>
    </cdr:from>
    <cdr:to>
      <cdr:x>0.22618</cdr:x>
      <cdr:y>0.37944</cdr:y>
    </cdr:to>
    <cdr:sp macro="" textlink="Gráficos!$AJ$2">
      <cdr:nvSpPr>
        <cdr:cNvPr id="4" name="Retângulo 3">
          <a:extLst xmlns:a="http://schemas.openxmlformats.org/drawingml/2006/main">
            <a:ext uri="{FF2B5EF4-FFF2-40B4-BE49-F238E27FC236}">
              <a16:creationId xmlns:a16="http://schemas.microsoft.com/office/drawing/2014/main" id="{26A1F2E4-73E2-EDB0-7750-446DAE7331E8}"/>
            </a:ext>
          </a:extLst>
        </cdr:cNvPr>
        <cdr:cNvSpPr/>
      </cdr:nvSpPr>
      <cdr:spPr>
        <a:xfrm xmlns:a="http://schemas.openxmlformats.org/drawingml/2006/main">
          <a:off x="0" y="0"/>
          <a:ext cx="844314" cy="67459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F8384E76-C0D4-4AA3-A9B6-747DFAFDDBA5}" type="TxLink">
            <a:rPr lang="en-US" sz="1100" b="1" i="0" u="none" strike="noStrike" kern="1200">
              <a:solidFill>
                <a:schemeClr val="accent2">
                  <a:lumMod val="75000"/>
                </a:schemeClr>
              </a:solidFill>
              <a:latin typeface="Calibri"/>
              <a:ea typeface="Calibri"/>
              <a:cs typeface="Calibri"/>
            </a:rPr>
            <a:pPr marL="0" indent="0" algn="ctr"/>
            <a:t> R$22,22 </a:t>
          </a:fld>
          <a:endParaRPr lang="pt-BR" sz="1000" b="1" i="0" u="none" strike="noStrike" kern="1200">
            <a:solidFill>
              <a:schemeClr val="accent2">
                <a:lumMod val="75000"/>
              </a:schemeClr>
            </a:solidFill>
            <a:latin typeface="Calibri"/>
            <a:ea typeface="Calibri"/>
            <a:cs typeface="Calibri"/>
          </a:endParaRPr>
        </a:p>
      </cdr:txBody>
    </cdr:sp>
  </cdr:relSizeAnchor>
  <cdr:relSizeAnchor xmlns:cdr="http://schemas.openxmlformats.org/drawingml/2006/chartDrawing">
    <cdr:from>
      <cdr:x>0</cdr:x>
      <cdr:y>0</cdr:y>
    </cdr:from>
    <cdr:to>
      <cdr:x>0.24496</cdr:x>
      <cdr:y>0.20106</cdr:y>
    </cdr:to>
    <cdr:sp macro="" textlink="">
      <cdr:nvSpPr>
        <cdr:cNvPr id="5" name="Retângulo 4">
          <a:extLst xmlns:a="http://schemas.openxmlformats.org/drawingml/2006/main">
            <a:ext uri="{FF2B5EF4-FFF2-40B4-BE49-F238E27FC236}">
              <a16:creationId xmlns:a16="http://schemas.microsoft.com/office/drawing/2014/main" id="{96F3D4BE-5144-3460-F75D-D21EE43C4ABC}"/>
            </a:ext>
          </a:extLst>
        </cdr:cNvPr>
        <cdr:cNvSpPr/>
      </cdr:nvSpPr>
      <cdr:spPr>
        <a:xfrm xmlns:a="http://schemas.openxmlformats.org/drawingml/2006/main">
          <a:off x="0" y="0"/>
          <a:ext cx="914400" cy="35745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pt-BR" sz="1000" b="1" kern="1200">
              <a:solidFill>
                <a:sysClr val="windowText" lastClr="000000"/>
              </a:solidFill>
            </a:rPr>
            <a:t>Valor unitário</a:t>
          </a:r>
        </a:p>
      </cdr:txBody>
    </cdr:sp>
  </cdr:relSizeAnchor>
</c:userShapes>
</file>

<file path=xl/drawings/drawing3.xml><?xml version="1.0" encoding="utf-8"?>
<c:userShapes xmlns:c="http://schemas.openxmlformats.org/drawingml/2006/chart">
  <cdr:relSizeAnchor xmlns:cdr="http://schemas.openxmlformats.org/drawingml/2006/chartDrawing">
    <cdr:from>
      <cdr:x>0.77121</cdr:x>
      <cdr:y>0</cdr:y>
    </cdr:from>
    <cdr:to>
      <cdr:x>0.99739</cdr:x>
      <cdr:y>0.37885</cdr:y>
    </cdr:to>
    <cdr:sp macro="" textlink="Gráficos!$AG$2">
      <cdr:nvSpPr>
        <cdr:cNvPr id="2" name="Retângulo 1">
          <a:extLst xmlns:a="http://schemas.openxmlformats.org/drawingml/2006/main">
            <a:ext uri="{FF2B5EF4-FFF2-40B4-BE49-F238E27FC236}">
              <a16:creationId xmlns:a16="http://schemas.microsoft.com/office/drawing/2014/main" id="{26A1F2E4-73E2-EDB0-7750-446DAE7331E8}"/>
            </a:ext>
          </a:extLst>
        </cdr:cNvPr>
        <cdr:cNvSpPr/>
      </cdr:nvSpPr>
      <cdr:spPr>
        <a:xfrm xmlns:a="http://schemas.openxmlformats.org/drawingml/2006/main">
          <a:off x="5629621" y="0"/>
          <a:ext cx="1651051" cy="103926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28F1B944-3F94-46D8-826D-DE470B5B2275}" type="TxLink">
            <a:rPr lang="en-US" sz="1000" b="1" i="0" u="none" strike="noStrike" kern="1200">
              <a:solidFill>
                <a:schemeClr val="accent2">
                  <a:lumMod val="75000"/>
                </a:schemeClr>
              </a:solidFill>
              <a:latin typeface="Calibri"/>
              <a:ea typeface="Calibri"/>
              <a:cs typeface="Calibri"/>
            </a:rPr>
            <a:pPr marL="0" indent="0" algn="ctr"/>
            <a:t> R$11,38 </a:t>
          </a:fld>
          <a:endParaRPr lang="pt-BR" sz="1000" b="1" i="0" u="none" strike="noStrike" kern="1200">
            <a:solidFill>
              <a:schemeClr val="accent2">
                <a:lumMod val="75000"/>
              </a:schemeClr>
            </a:solidFill>
            <a:latin typeface="Calibri"/>
            <a:ea typeface="Calibri"/>
            <a:cs typeface="Calibri"/>
          </a:endParaRPr>
        </a:p>
      </cdr:txBody>
    </cdr:sp>
  </cdr:relSizeAnchor>
  <cdr:relSizeAnchor xmlns:cdr="http://schemas.openxmlformats.org/drawingml/2006/chartDrawing">
    <cdr:from>
      <cdr:x>0.77382</cdr:x>
      <cdr:y>0</cdr:y>
    </cdr:from>
    <cdr:to>
      <cdr:x>1</cdr:x>
      <cdr:y>0.20074</cdr:y>
    </cdr:to>
    <cdr:sp macro="" textlink="">
      <cdr:nvSpPr>
        <cdr:cNvPr id="3" name="Retângulo 2">
          <a:extLst xmlns:a="http://schemas.openxmlformats.org/drawingml/2006/main">
            <a:ext uri="{FF2B5EF4-FFF2-40B4-BE49-F238E27FC236}">
              <a16:creationId xmlns:a16="http://schemas.microsoft.com/office/drawing/2014/main" id="{96F3D4BE-5144-3460-F75D-D21EE43C4ABC}"/>
            </a:ext>
          </a:extLst>
        </cdr:cNvPr>
        <cdr:cNvSpPr/>
      </cdr:nvSpPr>
      <cdr:spPr>
        <a:xfrm xmlns:a="http://schemas.openxmlformats.org/drawingml/2006/main">
          <a:off x="5648671" y="0"/>
          <a:ext cx="1651051" cy="55067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pt-BR" sz="1000" b="1" kern="1200">
              <a:solidFill>
                <a:sysClr val="windowText" lastClr="000000"/>
              </a:solidFill>
            </a:rPr>
            <a:t>Média</a:t>
          </a:r>
        </a:p>
      </cdr:txBody>
    </cdr:sp>
  </cdr:relSizeAnchor>
</c:userShapes>
</file>

<file path=xl/drawings/drawing4.xml><?xml version="1.0" encoding="utf-8"?>
<c:userShapes xmlns:c="http://schemas.openxmlformats.org/drawingml/2006/chart">
  <cdr:relSizeAnchor xmlns:cdr="http://schemas.openxmlformats.org/drawingml/2006/chartDrawing">
    <cdr:from>
      <cdr:x>0.77099</cdr:x>
      <cdr:y>0.07412</cdr:y>
    </cdr:from>
    <cdr:to>
      <cdr:x>0.99719</cdr:x>
      <cdr:y>0.27486</cdr:y>
    </cdr:to>
    <cdr:sp macro="" textlink="Gráficos!$AM$2">
      <cdr:nvSpPr>
        <cdr:cNvPr id="2" name="Retângulo 1">
          <a:extLst xmlns:a="http://schemas.openxmlformats.org/drawingml/2006/main">
            <a:ext uri="{FF2B5EF4-FFF2-40B4-BE49-F238E27FC236}">
              <a16:creationId xmlns:a16="http://schemas.microsoft.com/office/drawing/2014/main" id="{26A1F2E4-73E2-EDB0-7750-446DAE7331E8}"/>
            </a:ext>
          </a:extLst>
        </cdr:cNvPr>
        <cdr:cNvSpPr/>
      </cdr:nvSpPr>
      <cdr:spPr>
        <a:xfrm xmlns:a="http://schemas.openxmlformats.org/drawingml/2006/main">
          <a:off x="5235144" y="203459"/>
          <a:ext cx="1535925" cy="55102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1D10576B-841D-4FAA-B872-9DAB49AABB9F}" type="TxLink">
            <a:rPr lang="en-US" sz="1000" b="1" i="0" u="none" strike="noStrike" kern="1200">
              <a:solidFill>
                <a:schemeClr val="accent2">
                  <a:lumMod val="75000"/>
                </a:schemeClr>
              </a:solidFill>
              <a:latin typeface="Calibri"/>
              <a:ea typeface="Calibri"/>
              <a:cs typeface="Calibri"/>
            </a:rPr>
            <a:pPr marL="0" indent="0" algn="ctr"/>
            <a:t> R$22,68 </a:t>
          </a:fld>
          <a:endParaRPr lang="pt-BR" sz="1000" b="1" i="0" u="none" strike="noStrike" kern="1200">
            <a:solidFill>
              <a:schemeClr val="accent2">
                <a:lumMod val="75000"/>
              </a:schemeClr>
            </a:solidFill>
            <a:latin typeface="Calibri"/>
            <a:ea typeface="Calibri"/>
            <a:cs typeface="Calibri"/>
          </a:endParaRPr>
        </a:p>
      </cdr:txBody>
    </cdr:sp>
  </cdr:relSizeAnchor>
  <cdr:relSizeAnchor xmlns:cdr="http://schemas.openxmlformats.org/drawingml/2006/chartDrawing">
    <cdr:from>
      <cdr:x>0.7738</cdr:x>
      <cdr:y>0</cdr:y>
    </cdr:from>
    <cdr:to>
      <cdr:x>1</cdr:x>
      <cdr:y>0.20073</cdr:y>
    </cdr:to>
    <cdr:sp macro="" textlink="Gráficos!#REF!">
      <cdr:nvSpPr>
        <cdr:cNvPr id="3" name="Retângulo 2">
          <a:extLst xmlns:a="http://schemas.openxmlformats.org/drawingml/2006/main">
            <a:ext uri="{FF2B5EF4-FFF2-40B4-BE49-F238E27FC236}">
              <a16:creationId xmlns:a16="http://schemas.microsoft.com/office/drawing/2014/main" id="{5E9FE12C-0C85-2051-0733-07265E60B989}"/>
            </a:ext>
          </a:extLst>
        </cdr:cNvPr>
        <cdr:cNvSpPr/>
      </cdr:nvSpPr>
      <cdr:spPr>
        <a:xfrm xmlns:a="http://schemas.openxmlformats.org/drawingml/2006/main">
          <a:off x="5254194" y="0"/>
          <a:ext cx="1535925" cy="5510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pt-BR" sz="1000" b="1" kern="1200">
              <a:solidFill>
                <a:sysClr val="windowText" lastClr="000000"/>
              </a:solidFill>
            </a:rPr>
            <a:t>Média</a:t>
          </a:r>
        </a:p>
      </cdr:txBody>
    </cdr:sp>
  </cdr:relSizeAnchor>
  <cdr:relSizeAnchor xmlns:cdr="http://schemas.openxmlformats.org/drawingml/2006/chartDrawing">
    <cdr:from>
      <cdr:x>0.81781</cdr:x>
      <cdr:y>0.15225</cdr:y>
    </cdr:from>
    <cdr:to>
      <cdr:x>0.98</cdr:x>
      <cdr:y>0.35299</cdr:y>
    </cdr:to>
    <cdr:sp macro="" textlink="Gráficos!$AP$2">
      <cdr:nvSpPr>
        <cdr:cNvPr id="4" name="Retângulo 3">
          <a:extLst xmlns:a="http://schemas.openxmlformats.org/drawingml/2006/main">
            <a:ext uri="{FF2B5EF4-FFF2-40B4-BE49-F238E27FC236}">
              <a16:creationId xmlns:a16="http://schemas.microsoft.com/office/drawing/2014/main" id="{38B4C5B9-7CDA-7AD6-D459-E870A9B4F0CB}"/>
            </a:ext>
          </a:extLst>
        </cdr:cNvPr>
        <cdr:cNvSpPr/>
      </cdr:nvSpPr>
      <cdr:spPr>
        <a:xfrm xmlns:a="http://schemas.openxmlformats.org/drawingml/2006/main">
          <a:off x="3116347" y="329974"/>
          <a:ext cx="618067" cy="43506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DDD97A17-4AA8-408A-B264-FBB46DC76C36}" type="TxLink">
            <a:rPr lang="en-US" sz="900" b="1" i="0" u="none" strike="noStrike" kern="1200">
              <a:solidFill>
                <a:srgbClr val="007A37"/>
              </a:solidFill>
              <a:latin typeface="Calibri"/>
              <a:ea typeface="Calibri"/>
              <a:cs typeface="Calibri"/>
            </a:rPr>
            <a:pPr marL="0" indent="0" algn="ctr"/>
            <a:t>54%</a:t>
          </a:fld>
          <a:endParaRPr lang="pt-BR" sz="900" b="1" i="0" u="none" strike="noStrike" kern="1200">
            <a:solidFill>
              <a:srgbClr val="007A37"/>
            </a:solidFill>
            <a:latin typeface="Calibri"/>
            <a:ea typeface="Calibri"/>
            <a:cs typeface="Calibri"/>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0.77206</cdr:x>
      <cdr:y>0</cdr:y>
    </cdr:from>
    <cdr:to>
      <cdr:x>1</cdr:x>
      <cdr:y>0.37918</cdr:y>
    </cdr:to>
    <cdr:sp macro="" textlink="Gráficos!$W$2">
      <cdr:nvSpPr>
        <cdr:cNvPr id="2" name="Retângulo 1">
          <a:extLst xmlns:a="http://schemas.openxmlformats.org/drawingml/2006/main">
            <a:ext uri="{FF2B5EF4-FFF2-40B4-BE49-F238E27FC236}">
              <a16:creationId xmlns:a16="http://schemas.microsoft.com/office/drawing/2014/main" id="{26A1F2E4-73E2-EDB0-7750-446DAE7331E8}"/>
            </a:ext>
          </a:extLst>
        </cdr:cNvPr>
        <cdr:cNvSpPr/>
      </cdr:nvSpPr>
      <cdr:spPr>
        <a:xfrm xmlns:a="http://schemas.openxmlformats.org/drawingml/2006/main">
          <a:off x="2859839" y="0"/>
          <a:ext cx="844328" cy="67458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DB0C4EFA-0159-4723-8301-906185650525}" type="TxLink">
            <a:rPr lang="en-US" sz="1100" b="1" i="0" u="none" strike="noStrike" kern="1200">
              <a:solidFill>
                <a:schemeClr val="accent2">
                  <a:lumMod val="75000"/>
                </a:schemeClr>
              </a:solidFill>
              <a:latin typeface="Calibri"/>
              <a:ea typeface="Calibri"/>
              <a:cs typeface="Calibri"/>
            </a:rPr>
            <a:pPr marL="0" indent="0" algn="ctr"/>
            <a:t>24</a:t>
          </a:fld>
          <a:endParaRPr lang="pt-BR" sz="1000" b="1" i="0" u="none" strike="noStrike" kern="1200">
            <a:solidFill>
              <a:schemeClr val="accent2">
                <a:lumMod val="75000"/>
              </a:schemeClr>
            </a:solidFill>
            <a:latin typeface="Calibri"/>
            <a:ea typeface="Calibri"/>
            <a:cs typeface="Calibri"/>
          </a:endParaRPr>
        </a:p>
      </cdr:txBody>
    </cdr:sp>
  </cdr:relSizeAnchor>
  <cdr:relSizeAnchor xmlns:cdr="http://schemas.openxmlformats.org/drawingml/2006/chartDrawing">
    <cdr:from>
      <cdr:x>0.76943</cdr:x>
      <cdr:y>0</cdr:y>
    </cdr:from>
    <cdr:to>
      <cdr:x>1</cdr:x>
      <cdr:y>0.20093</cdr:y>
    </cdr:to>
    <cdr:sp macro="" textlink="">
      <cdr:nvSpPr>
        <cdr:cNvPr id="3" name="Retângulo 2">
          <a:extLst xmlns:a="http://schemas.openxmlformats.org/drawingml/2006/main">
            <a:ext uri="{FF2B5EF4-FFF2-40B4-BE49-F238E27FC236}">
              <a16:creationId xmlns:a16="http://schemas.microsoft.com/office/drawing/2014/main" id="{96F3D4BE-5144-3460-F75D-D21EE43C4ABC}"/>
            </a:ext>
          </a:extLst>
        </cdr:cNvPr>
        <cdr:cNvSpPr/>
      </cdr:nvSpPr>
      <cdr:spPr>
        <a:xfrm xmlns:a="http://schemas.openxmlformats.org/drawingml/2006/main">
          <a:off x="2850097" y="0"/>
          <a:ext cx="854070" cy="35746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pt-BR" sz="1000" b="1" kern="1200">
              <a:solidFill>
                <a:sysClr val="windowText" lastClr="000000"/>
              </a:solidFill>
            </a:rPr>
            <a:t>Média</a:t>
          </a:r>
        </a:p>
      </cdr:txBody>
    </cdr:sp>
  </cdr:relSizeAnchor>
  <cdr:relSizeAnchor xmlns:cdr="http://schemas.openxmlformats.org/drawingml/2006/chartDrawing">
    <cdr:from>
      <cdr:x>0</cdr:x>
      <cdr:y>0.02261</cdr:y>
    </cdr:from>
    <cdr:to>
      <cdr:x>0.22794</cdr:x>
      <cdr:y>0.40179</cdr:y>
    </cdr:to>
    <cdr:sp macro="" textlink="Gráficos!$X$2">
      <cdr:nvSpPr>
        <cdr:cNvPr id="4" name="Retângulo 3">
          <a:extLst xmlns:a="http://schemas.openxmlformats.org/drawingml/2006/main">
            <a:ext uri="{FF2B5EF4-FFF2-40B4-BE49-F238E27FC236}">
              <a16:creationId xmlns:a16="http://schemas.microsoft.com/office/drawing/2014/main" id="{26A1F2E4-73E2-EDB0-7750-446DAE7331E8}"/>
            </a:ext>
          </a:extLst>
        </cdr:cNvPr>
        <cdr:cNvSpPr/>
      </cdr:nvSpPr>
      <cdr:spPr>
        <a:xfrm xmlns:a="http://schemas.openxmlformats.org/drawingml/2006/main">
          <a:off x="0" y="40217"/>
          <a:ext cx="844314" cy="67459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E3BCDA87-6C41-4FE1-8CDD-7A0D9F3425BF}" type="TxLink">
            <a:rPr lang="en-US" sz="1100" b="0" i="0" u="none" strike="noStrike" kern="1200">
              <a:solidFill>
                <a:srgbClr val="000000"/>
              </a:solidFill>
              <a:latin typeface="Calibri"/>
              <a:ea typeface="Calibri"/>
              <a:cs typeface="Calibri"/>
            </a:rPr>
            <a:pPr marL="0" indent="0" algn="ctr"/>
            <a:t> </a:t>
          </a:fld>
          <a:endParaRPr lang="pt-BR" sz="1000" b="1" i="0" u="none" strike="noStrike" kern="1200">
            <a:solidFill>
              <a:schemeClr val="accent2">
                <a:lumMod val="75000"/>
              </a:schemeClr>
            </a:solidFill>
            <a:latin typeface="Calibri"/>
            <a:ea typeface="Calibri"/>
            <a:cs typeface="Calibri"/>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0.70836</cdr:x>
      <cdr:y>0.09029</cdr:y>
    </cdr:from>
    <cdr:to>
      <cdr:x>1</cdr:x>
      <cdr:y>0.28777</cdr:y>
    </cdr:to>
    <cdr:sp macro="" textlink="Gráficos!$AY$2">
      <cdr:nvSpPr>
        <cdr:cNvPr id="2" name="Retângulo 1">
          <a:extLst xmlns:a="http://schemas.openxmlformats.org/drawingml/2006/main">
            <a:ext uri="{FF2B5EF4-FFF2-40B4-BE49-F238E27FC236}">
              <a16:creationId xmlns:a16="http://schemas.microsoft.com/office/drawing/2014/main" id="{479A4543-89E2-C622-7729-58D70F4C9179}"/>
            </a:ext>
          </a:extLst>
        </cdr:cNvPr>
        <cdr:cNvSpPr/>
      </cdr:nvSpPr>
      <cdr:spPr>
        <a:xfrm xmlns:a="http://schemas.openxmlformats.org/drawingml/2006/main">
          <a:off x="2614897" y="169334"/>
          <a:ext cx="1076569" cy="37033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C64103A2-CC14-49BA-B2A7-9A23F4D27BA7}" type="TxLink">
            <a:rPr lang="en-US" sz="1000" b="1" i="0" u="none" strike="noStrike" kern="1200">
              <a:solidFill>
                <a:schemeClr val="accent2">
                  <a:lumMod val="75000"/>
                </a:schemeClr>
              </a:solidFill>
              <a:latin typeface="Calibri"/>
              <a:ea typeface="Calibri"/>
              <a:cs typeface="Calibri"/>
            </a:rPr>
            <a:pPr marL="0" indent="0" algn="ctr"/>
            <a:t> R$3.921,00 </a:t>
          </a:fld>
          <a:endParaRPr lang="pt-BR" sz="1000" b="1" i="0" u="none" strike="noStrike" kern="1200">
            <a:solidFill>
              <a:schemeClr val="accent2">
                <a:lumMod val="75000"/>
              </a:schemeClr>
            </a:solidFill>
            <a:latin typeface="Calibri"/>
            <a:ea typeface="Calibri"/>
            <a:cs typeface="Calibri"/>
          </a:endParaRPr>
        </a:p>
      </cdr:txBody>
    </cdr:sp>
  </cdr:relSizeAnchor>
  <cdr:relSizeAnchor xmlns:cdr="http://schemas.openxmlformats.org/drawingml/2006/chartDrawing">
    <cdr:from>
      <cdr:x>0.76606</cdr:x>
      <cdr:y>0</cdr:y>
    </cdr:from>
    <cdr:to>
      <cdr:x>0.99278</cdr:x>
      <cdr:y>0.19746</cdr:y>
    </cdr:to>
    <cdr:sp macro="" textlink="">
      <cdr:nvSpPr>
        <cdr:cNvPr id="3" name="Retângulo 2">
          <a:extLst xmlns:a="http://schemas.openxmlformats.org/drawingml/2006/main">
            <a:ext uri="{FF2B5EF4-FFF2-40B4-BE49-F238E27FC236}">
              <a16:creationId xmlns:a16="http://schemas.microsoft.com/office/drawing/2014/main" id="{8E034894-17B6-95A1-8EBC-D54A1378F1DD}"/>
            </a:ext>
          </a:extLst>
        </cdr:cNvPr>
        <cdr:cNvSpPr/>
      </cdr:nvSpPr>
      <cdr:spPr>
        <a:xfrm xmlns:a="http://schemas.openxmlformats.org/drawingml/2006/main">
          <a:off x="2827867" y="0"/>
          <a:ext cx="836962" cy="37031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pt-BR" sz="1000" b="1" kern="1200">
              <a:solidFill>
                <a:sysClr val="windowText" lastClr="000000"/>
              </a:solidFill>
            </a:rPr>
            <a:t>Total</a:t>
          </a:r>
        </a:p>
      </cdr:txBody>
    </cdr:sp>
  </cdr:relSizeAnchor>
</c:userShapes>
</file>

<file path=xl/drawings/drawing7.xml><?xml version="1.0" encoding="utf-8"?>
<c:userShapes xmlns:c="http://schemas.openxmlformats.org/drawingml/2006/chart">
  <cdr:relSizeAnchor xmlns:cdr="http://schemas.openxmlformats.org/drawingml/2006/chartDrawing">
    <cdr:from>
      <cdr:x>0.80772</cdr:x>
      <cdr:y>0</cdr:y>
    </cdr:from>
    <cdr:to>
      <cdr:x>1</cdr:x>
      <cdr:y>0.15469</cdr:y>
    </cdr:to>
    <cdr:sp macro="" textlink="">
      <cdr:nvSpPr>
        <cdr:cNvPr id="2" name="Retângulo 1">
          <a:extLst xmlns:a="http://schemas.openxmlformats.org/drawingml/2006/main">
            <a:ext uri="{FF2B5EF4-FFF2-40B4-BE49-F238E27FC236}">
              <a16:creationId xmlns:a16="http://schemas.microsoft.com/office/drawing/2014/main" id="{58CC6F33-156E-F882-64ED-0FCB796A1C63}"/>
            </a:ext>
          </a:extLst>
        </cdr:cNvPr>
        <cdr:cNvSpPr/>
      </cdr:nvSpPr>
      <cdr:spPr>
        <a:xfrm xmlns:a="http://schemas.openxmlformats.org/drawingml/2006/main">
          <a:off x="2844892" y="0"/>
          <a:ext cx="677241" cy="29271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pt-BR" sz="1000" b="1" kern="1200">
              <a:solidFill>
                <a:sysClr val="windowText" lastClr="000000"/>
              </a:solidFill>
            </a:rPr>
            <a:t>Total</a:t>
          </a:r>
        </a:p>
      </cdr:txBody>
    </cdr:sp>
  </cdr:relSizeAnchor>
  <cdr:relSizeAnchor xmlns:cdr="http://schemas.openxmlformats.org/drawingml/2006/chartDrawing">
    <cdr:from>
      <cdr:x>0.81109</cdr:x>
      <cdr:y>0.07159</cdr:y>
    </cdr:from>
    <cdr:to>
      <cdr:x>1</cdr:x>
      <cdr:y>0.24555</cdr:y>
    </cdr:to>
    <cdr:sp macro="" textlink="Gráficos!$BB$2">
      <cdr:nvSpPr>
        <cdr:cNvPr id="3" name="Retângulo 2">
          <a:extLst xmlns:a="http://schemas.openxmlformats.org/drawingml/2006/main">
            <a:ext uri="{FF2B5EF4-FFF2-40B4-BE49-F238E27FC236}">
              <a16:creationId xmlns:a16="http://schemas.microsoft.com/office/drawing/2014/main" id="{58229463-CD6B-BC8D-1B0F-1AFB7D40F923}"/>
            </a:ext>
          </a:extLst>
        </cdr:cNvPr>
        <cdr:cNvSpPr/>
      </cdr:nvSpPr>
      <cdr:spPr>
        <a:xfrm xmlns:a="http://schemas.openxmlformats.org/drawingml/2006/main">
          <a:off x="2856751" y="135467"/>
          <a:ext cx="665382" cy="329186"/>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548C18A2-A51C-4FD6-8B18-D6C9479B5753}" type="TxLink">
            <a:rPr lang="en-US" sz="1000" b="1" i="0" u="none" strike="noStrike" kern="1200">
              <a:solidFill>
                <a:schemeClr val="accent2">
                  <a:lumMod val="75000"/>
                </a:schemeClr>
              </a:solidFill>
              <a:latin typeface="Calibri"/>
              <a:ea typeface="Calibri"/>
              <a:cs typeface="Calibri"/>
            </a:rPr>
            <a:pPr marL="0" indent="0" algn="ctr"/>
            <a:t>126</a:t>
          </a:fld>
          <a:endParaRPr lang="pt-BR" sz="1000" b="1" i="0" u="none" strike="noStrike" kern="1200">
            <a:solidFill>
              <a:schemeClr val="accent2">
                <a:lumMod val="75000"/>
              </a:schemeClr>
            </a:solidFill>
            <a:latin typeface="Calibri"/>
            <a:ea typeface="Calibri"/>
            <a:cs typeface="Calibri"/>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5781.040046180555" createdVersion="8" refreshedVersion="8" minRefreshableVersion="3" recordCount="103" xr:uid="{00000000-000A-0000-FFFF-FFFFB5000000}">
  <cacheSource type="worksheet">
    <worksheetSource ref="A1:V1048576" sheet="Custo Produto"/>
  </cacheSource>
  <cacheFields count="24">
    <cacheField name="Categoria" numFmtId="0">
      <sharedItems containsBlank="1" count="5">
        <s v="ESPECIAIS"/>
        <s v="TRADICIONAIS"/>
        <s v="SORTIDOS"/>
        <m/>
        <s v="TRADICIONAL" u="1"/>
      </sharedItems>
    </cacheField>
    <cacheField name="Produto" numFmtId="0">
      <sharedItems containsBlank="1" count="36">
        <s v="BRIGADEIRO LEITE NINHO C/ NUTELLA"/>
        <s v="BRIGADEIRO NESCAU"/>
        <s v="BRIGADEIRO PAÇOCA"/>
        <s v="BRIGADEIRO BEIJINHO (Coco)"/>
        <s v="BRIGADEIRO AO LEITE 50%"/>
        <s v="BRIGADEIRO CHURROS"/>
        <s v="BRIGADEIRO LEITE NINHO"/>
        <s v="BRIGADEIRO CASADINHO"/>
        <s v="BRIGADEIRO NESQUIK"/>
        <s v="BRIGADEIRO CHOCOLATE C/ MORANGO"/>
        <s v="BRIGADEIRO CHOCOBOL"/>
        <s v="BRIGADEIRO CAJUZINHO"/>
        <s v="BRIGADEIRO PRESTIGIO"/>
        <s v="BRIGADEIRO MEIO AMARGO"/>
        <s v="BRIGADEIRO CAFÉ"/>
        <s v="BRIGADEIRO M&amp;M"/>
        <s v="BRIGADEIRO NAPOLITANO"/>
        <s v="BRIGADEIRO ROMEU E JULIETA"/>
        <s v="BRIGADEIRO COCO QUEIMADO"/>
        <s v="BRIGADEIRO DE FERRERO"/>
        <s v="BRIGADEIRO FLORESTA NEGRA"/>
        <s v="BRIGADEIRO CARAMELO"/>
        <s v="CAIXA 8 Un."/>
        <s v="CAIXA 12 Un."/>
        <s v="CAIXA 30 Un."/>
        <s v="CAIXA 100 Un."/>
        <m/>
        <s v="CAIXA 42 Un." u="1"/>
        <s v="BRIGADEIRO LEITE EM PÓ" u="1"/>
        <s v="CAIXA 4 Un." u="1"/>
        <s v="BRIGADEIRO CHURRUS" u="1"/>
        <s v="BRIGADEIRO CACAU" u="1"/>
        <s v="BRIGADEIRO AMARGO 70%" u="1"/>
        <s v="BRIGADEIRO 50%" u="1"/>
        <s v="BRIGADEIRO COCO" u="1"/>
        <s v="BRIGADEIRO AMARGO" u="1"/>
      </sharedItems>
    </cacheField>
    <cacheField name="ingredientes" numFmtId="0">
      <sharedItems containsBlank="1"/>
    </cacheField>
    <cacheField name="Valor Ingredientes" numFmtId="0">
      <sharedItems containsString="0" containsBlank="1" containsNumber="1" minValue="0" maxValue="49.3"/>
    </cacheField>
    <cacheField name="Quantidades (Gramas)" numFmtId="0">
      <sharedItems containsString="0" containsBlank="1" containsNumber="1" containsInteger="1" minValue="0" maxValue="5000"/>
    </cacheField>
    <cacheField name="Quantidades usadas (Gramas)" numFmtId="0">
      <sharedItems containsString="0" containsBlank="1" containsNumber="1" minValue="0" maxValue="395"/>
    </cacheField>
    <cacheField name="Valor Unitario Ingredientes" numFmtId="0">
      <sharedItems containsString="0" containsBlank="1" containsNumber="1" minValue="0" maxValue="0.15"/>
    </cacheField>
    <cacheField name="Valor Unitario Ingredientes usados" numFmtId="0">
      <sharedItems containsString="0" containsBlank="1" containsNumber="1" minValue="0" maxValue="11.339"/>
    </cacheField>
    <cacheField name="Valor Total Ingredientes" numFmtId="0">
      <sharedItems containsString="0" containsBlank="1" containsNumber="1" minValue="0" maxValue="24.811499999999999"/>
    </cacheField>
    <cacheField name="Rendimento da Massa (gramas)" numFmtId="0">
      <sharedItems containsString="0" containsBlank="1" containsNumber="1" containsInteger="1" minValue="0" maxValue="410"/>
    </cacheField>
    <cacheField name="Rendimento Brigadeiros_x000a_( 18 gramas)" numFmtId="0">
      <sharedItems containsString="0" containsBlank="1" containsNumber="1" minValue="8" maxValue="100"/>
    </cacheField>
    <cacheField name="Valor Confeitos" numFmtId="0">
      <sharedItems containsString="0" containsBlank="1" containsNumber="1" containsInteger="1" minValue="0" maxValue="1"/>
    </cacheField>
    <cacheField name="Valor Embalagens" numFmtId="0">
      <sharedItems containsString="0" containsBlank="1" containsNumber="1" minValue="0.4" maxValue="4"/>
    </cacheField>
    <cacheField name="Custos Variaveis " numFmtId="0">
      <sharedItems containsString="0" containsBlank="1" containsNumber="1" containsInteger="1" minValue="0" maxValue="1"/>
    </cacheField>
    <cacheField name="Taxa de Cartão (3X s/ juros)" numFmtId="10">
      <sharedItems containsString="0" containsBlank="1" containsNumber="1" containsInteger="1" minValue="0" maxValue="0"/>
    </cacheField>
    <cacheField name="Valor Total Produção" numFmtId="0">
      <sharedItems containsString="0" containsBlank="1" containsNumber="1" minValue="7.2464747127578857" maxValue="88.6188657656826"/>
    </cacheField>
    <cacheField name="Valor Total Unitario dos brigadeiros" numFmtId="0">
      <sharedItems containsString="0" containsBlank="1" containsNumber="1" minValue="0.62288343195266271" maxValue="1.4375325443786979"/>
    </cacheField>
    <cacheField name="Valor Venda" numFmtId="164">
      <sharedItems containsString="0" containsBlank="1" containsNumber="1" minValue="1.6594046629927939" maxValue="169.99682897253953"/>
    </cacheField>
    <cacheField name="Margem" numFmtId="0">
      <sharedItems containsString="0" containsBlank="1" containsNumber="1" minValue="0.39" maxValue="2.21"/>
    </cacheField>
    <cacheField name="Lucro Unitario" numFmtId="0">
      <sharedItems containsString="0" containsBlank="1" containsNumber="1" minValue="0.56063769230769223" maxValue="1.3765723846153846"/>
    </cacheField>
    <cacheField name="Margem lucro real" numFmtId="9">
      <sharedItems containsString="0" containsBlank="1" containsNumber="1" minValue="0.28057553956834536" maxValue="0.68847352024922126"/>
    </cacheField>
    <cacheField name="Lucro Total" numFmtId="0">
      <sharedItems containsString="0" containsBlank="1" containsNumber="1" minValue="6.7506240667792738" maxValue="81.377963206856933"/>
    </cacheField>
    <cacheField name="Média de lucro" numFmtId="0" formula="'Lucro Total'/#NAME?" databaseField="0"/>
    <cacheField name="Campo1" numFmtId="0" formula="'Lucro Total'/'Lucro Total'" databaseField="0"/>
  </cacheFields>
  <extLst>
    <ext xmlns:x14="http://schemas.microsoft.com/office/spreadsheetml/2009/9/main" uri="{725AE2AE-9491-48be-B2B4-4EB974FC3084}">
      <x14:pivotCacheDefinition pivotCacheId="7430884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5781.040047569448" createdVersion="8" refreshedVersion="8" minRefreshableVersion="3" recordCount="240" xr:uid="{00000000-000A-0000-FFFF-FFFFB6000000}">
  <cacheSource type="worksheet">
    <worksheetSource ref="A1:K1048576" sheet="Vendas e Despesas"/>
  </cacheSource>
  <cacheFields count="12">
    <cacheField name="Data" numFmtId="14">
      <sharedItems containsNonDate="0" containsDate="1" containsString="0" containsBlank="1" minDate="2025-01-19T00:00:00" maxDate="2025-05-05T00:00:00" count="36">
        <d v="2025-01-19T00:00:00"/>
        <d v="2025-01-21T00:00:00"/>
        <d v="2025-01-25T00:00:00"/>
        <d v="2025-01-26T00:00:00"/>
        <d v="2025-02-15T00:00:00"/>
        <d v="2025-02-16T00:00:00"/>
        <d v="2025-02-17T00:00:00"/>
        <d v="2025-02-20T00:00:00"/>
        <d v="2025-02-21T00:00:00"/>
        <d v="2025-02-22T00:00:00"/>
        <d v="2025-02-23T00:00:00"/>
        <d v="2025-02-24T00:00:00"/>
        <d v="2025-02-26T00:00:00"/>
        <d v="2025-03-01T00:00:00"/>
        <d v="2025-03-07T00:00:00"/>
        <d v="2025-03-08T00:00:00"/>
        <d v="2025-03-09T00:00:00"/>
        <d v="2025-03-12T00:00:00"/>
        <d v="2025-03-14T00:00:00"/>
        <d v="2025-03-15T00:00:00"/>
        <d v="2025-03-16T00:00:00"/>
        <d v="2025-03-18T00:00:00"/>
        <d v="2025-03-22T00:00:00"/>
        <d v="2025-03-23T00:00:00"/>
        <d v="2025-03-27T00:00:00"/>
        <d v="2025-03-29T00:00:00"/>
        <d v="2025-03-30T00:00:00"/>
        <d v="2025-04-02T00:00:00"/>
        <d v="2025-04-06T00:00:00"/>
        <d v="2025-04-07T00:00:00"/>
        <d v="2025-04-12T00:00:00"/>
        <d v="2025-04-17T00:00:00"/>
        <d v="2025-04-19T00:00:00"/>
        <d v="2025-04-26T00:00:00"/>
        <d v="2025-05-04T00:00:00"/>
        <m/>
      </sharedItems>
      <fieldGroup par="11"/>
    </cacheField>
    <cacheField name="Mês" numFmtId="0">
      <sharedItems containsBlank="1" count="6">
        <s v="janeiro"/>
        <s v="fevereiro"/>
        <s v="março"/>
        <s v="abril"/>
        <s v="maio"/>
        <m/>
      </sharedItems>
    </cacheField>
    <cacheField name="Nome" numFmtId="0">
      <sharedItems containsBlank="1" count="49">
        <s v="Noca"/>
        <s v="Deisiane"/>
        <s v="Dani"/>
        <s v="Paloma"/>
        <s v="Joira"/>
        <s v="PRODUTOS"/>
        <s v="Andreia"/>
        <s v="Marcia"/>
        <s v="Kaue"/>
        <s v="Vivian"/>
        <s v="Zoca (Flavia)"/>
        <s v="Vitoria"/>
        <s v="Fabiola"/>
        <s v="Dilma"/>
        <s v="Juliana"/>
        <s v="Gilmara"/>
        <s v="Cassia"/>
        <s v="Dari"/>
        <s v="Renata"/>
        <s v="Odete"/>
        <s v="Juliana (cassi)"/>
        <s v="Gabriela"/>
        <s v="Ivone"/>
        <s v="Aline"/>
        <s v="Carol"/>
        <s v="Vania"/>
        <s v="Gisa"/>
        <s v="Rosangela"/>
        <s v="Luana"/>
        <s v="Patricia"/>
        <s v="Mulher"/>
        <s v="Lgferrari"/>
        <s v="Cheila"/>
        <s v="Homem"/>
        <s v="Mulher dos Cilios"/>
        <s v="Sandra"/>
        <s v="Vitor e Elo"/>
        <s v="Greice"/>
        <s v="Eliane"/>
        <s v="Marisa"/>
        <s v="Karina"/>
        <s v="Luane"/>
        <s v="Franciele"/>
        <s v="Dieni"/>
        <s v="Liara"/>
        <s v="Rosimar"/>
        <s v="Desconhecida"/>
        <m/>
        <s v="Cassi" u="1"/>
      </sharedItems>
    </cacheField>
    <cacheField name="Produto " numFmtId="0">
      <sharedItems containsBlank="1" count="12">
        <s v="CAIXA 12 Un."/>
        <s v="CAIXA 8 Un."/>
        <s v="DESPESAS"/>
        <s v="CAIXA 30 Un."/>
        <s v="CAIXA 100 Un."/>
        <s v="TAXA DE ENTREGA"/>
        <s v="KIT OVO DE PASCOA"/>
        <s v="CAIXA 140 Un."/>
        <s v="CAIXA 24 Un."/>
        <s v="CAIXA 16 Un."/>
        <s v="CAIXA 160 Un."/>
        <m/>
      </sharedItems>
    </cacheField>
    <cacheField name="Custo Unitario" numFmtId="0">
      <sharedItems containsString="0" containsBlank="1" containsNumber="1" minValue="0" maxValue="332.18"/>
    </cacheField>
    <cacheField name="Custo Total da Venda" numFmtId="0">
      <sharedItems containsString="0" containsBlank="1" containsNumber="1" minValue="0" maxValue="4.2287567697755142"/>
    </cacheField>
    <cacheField name="Valor Unitario Venda" numFmtId="164">
      <sharedItems containsString="0" containsBlank="1" containsNumber="1" minValue="0" maxValue="200"/>
    </cacheField>
    <cacheField name="Quantidade" numFmtId="167">
      <sharedItems containsString="0" containsBlank="1" containsNumber="1" minValue="0" maxValue="5"/>
    </cacheField>
    <cacheField name="Valor da Venda" numFmtId="164">
      <sharedItems containsString="0" containsBlank="1" containsNumber="1" minValue="0" maxValue="261"/>
    </cacheField>
    <cacheField name="Valor Recebido." numFmtId="164">
      <sharedItems containsString="0" containsBlank="1" containsNumber="1" minValue="0" maxValue="261"/>
    </cacheField>
    <cacheField name="STATUS" numFmtId="0">
      <sharedItems containsBlank="1" count="3">
        <s v="PAGO"/>
        <s v="A RECEBER"/>
        <m/>
      </sharedItems>
    </cacheField>
    <cacheField name="Meses (Data)" numFmtId="0" databaseField="0">
      <fieldGroup base="0">
        <rangePr groupBy="months" startDate="2025-01-19T00:00:00" endDate="2025-05-05T00:00:00"/>
        <groupItems count="14">
          <s v="&lt;19/01/2025"/>
          <s v="jan"/>
          <s v="fev"/>
          <s v="mar"/>
          <s v="abr"/>
          <s v="mai"/>
          <s v="jun"/>
          <s v="jul"/>
          <s v="ago"/>
          <s v="set"/>
          <s v="out"/>
          <s v="nov"/>
          <s v="dez"/>
          <s v="&gt;05/05/2025"/>
        </groupItems>
      </fieldGroup>
    </cacheField>
  </cacheFields>
  <extLst>
    <ext xmlns:x14="http://schemas.microsoft.com/office/spreadsheetml/2009/9/main" uri="{725AE2AE-9491-48be-B2B4-4EB974FC3084}">
      <x14:pivotCacheDefinition pivotCacheId="201348678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5781.040048726849" createdVersion="8" refreshedVersion="8" minRefreshableVersion="3" recordCount="166" xr:uid="{662DFCA1-A361-4319-9D36-E220B53B6EFA}">
  <cacheSource type="worksheet">
    <worksheetSource ref="A1:E1048572" sheet="Fluxo de Caixa"/>
  </cacheSource>
  <cacheFields count="5">
    <cacheField name="Data" numFmtId="14">
      <sharedItems containsNonDate="0" containsDate="1" containsString="0" containsBlank="1" minDate="2025-02-16T00:00:00" maxDate="2025-05-04T00:00:00"/>
    </cacheField>
    <cacheField name="Descrição" numFmtId="0">
      <sharedItems containsBlank="1" count="73">
        <s v="Saldo que tinha"/>
        <s v="Transferência Pix recebida Paulo_x000a_Roberto Talamini"/>
        <s v="Transferência Pix recebida Cassiane_x000a_Araujo de Lima"/>
        <s v="Transferência Pix recebida FABIOLA_x000a_TERIBELE QUADROS"/>
        <s v="Rendimentos"/>
        <s v="Pagamento Supermercado peg pag"/>
        <s v="Pagamento MANO A MANO EMBALAGENS"/>
        <s v="Transferência Pix recebida JULIANA_x000a_GONCALVES FERNANDES"/>
        <s v="Transferência Pix recebida Mauricio De_x000a_Oliveira Borba"/>
        <s v="Transferência Pix recebida OSEIAS_x000a_GONCALVES BUENO"/>
        <s v="Transferência Pix recebida VIVIAM_x000a_LUIZA TOMBINI"/>
        <s v="Pagamento Cartão de crédito"/>
        <s v="Transferência Pix recebida RENATA DA ROSA"/>
        <s v="Transferência Pix recebida ODETE DE ARRUDA"/>
        <s v="Recebimento em dinheiro"/>
        <s v="Transferência Pix enviada Cassiane Araujo de Lima"/>
        <s v="Pagamento PONTO DO CONFEITEIRO"/>
        <s v="Transferência Pix recebida Gisa"/>
        <s v="Transferência Pix recebida Carolina"/>
        <s v="Transferência Pix recebida Ivone"/>
        <s v="Transferência Pix recebida Rosangela"/>
        <s v="Transferência Pix recebida Luana"/>
        <s v="Transferência Pix recebida Jailson (aline)"/>
        <s v="Transferência Pix recebida Patricia alves"/>
        <s v="Transferência Pix recebida V.R BRIZOLA"/>
        <s v="Transferência Pix enviada ROSANGELA"/>
        <s v="Transferência Pix recebida Marcia"/>
        <s v="Transferência Venda cartão recebida Mulher"/>
        <s v="Transferência Pix recebida Cassiane Araujo de Lima"/>
        <s v="Transferência Pix enviada FERNANDO"/>
        <s v="Transferência Pix recebida Cassia"/>
        <s v="Pagamento Cotrisal"/>
        <s v="Pagamento Cruz azul"/>
        <s v="Pagamento Tarecama"/>
        <s v="Retirada de dinheiro"/>
        <s v="Transferência Pix enviada JARDEL"/>
        <s v="Pagamento Gelas sorvetes"/>
        <s v="Pagamento Posto da baixada"/>
        <s v="Pagamento Mercado tche"/>
        <s v="Pagamento Tche"/>
        <s v="Transferência Pix recebida Maria Patricia"/>
        <s v="Transferência Pix recebida Greice"/>
        <s v="Pagamento Emporio supermercado"/>
        <s v="Transferência Pix recebida Cassiane"/>
        <s v="Pagamento Coleira cadela"/>
        <s v="Transferência Pix recebida Karina"/>
        <s v="Transferência Pix recebida Paloma"/>
        <s v="Transferência Pix recebida Luane"/>
        <s v="Pagamento Hiper"/>
        <s v="Taxas"/>
        <s v="Transferência Pix recebida Paulo Roberto Talamini"/>
        <s v="Pagamento Ponto Doce"/>
        <s v="Pagamento Emporio Anajoana"/>
        <s v="Pagamento Mercado Livre 1ª"/>
        <s v="Pagamento Mercado Livre 2ª"/>
        <s v="Pagamento Cacau Show 1ª"/>
        <s v="Pagamento Silva Atacarejo"/>
        <s v="Pagamento Cacau Show 2ª"/>
        <s v="Pagamento São João"/>
        <s v="Transferência Pix recebida FABIOLA TERIBELE QUADROS"/>
        <s v="Pagamento La chapa"/>
        <s v="Pagamento Batisti"/>
        <s v="Pagamento panvel 1ª"/>
        <s v="Pagamento panvel 2ª"/>
        <s v="Pagamento panvel 3ª"/>
        <s v="Pagamento Gas"/>
        <s v="Pagamento Cinaleira gol"/>
        <s v="Transferência Pix recebida Rosimar"/>
        <s v="Pagamento Pastelaria"/>
        <s v="Transferência Pix recebida Juliana Lima"/>
        <s v="Pagamento Unipeças"/>
        <m/>
        <s v="Pagamento panvel" u="1"/>
      </sharedItems>
    </cacheField>
    <cacheField name="CONTA" numFmtId="0">
      <sharedItems containsBlank="1" count="3">
        <s v="Mercado Pago"/>
        <s v="Envelope"/>
        <m/>
      </sharedItems>
    </cacheField>
    <cacheField name="ID da operação" numFmtId="0">
      <sharedItems containsBlank="1" count="7">
        <s v="PIX"/>
        <s v="Rendimentos"/>
        <s v="CREDITO"/>
        <s v="DEBITO"/>
        <s v="Dinheiro"/>
        <s v="DEBITO Din."/>
        <m/>
      </sharedItems>
    </cacheField>
    <cacheField name="Valor" numFmtId="164">
      <sharedItems containsString="0" containsBlank="1" containsNumber="1" minValue="0" maxValue="1010.37"/>
    </cacheField>
  </cacheFields>
  <extLst>
    <ext xmlns:x14="http://schemas.microsoft.com/office/spreadsheetml/2009/9/main" uri="{725AE2AE-9491-48be-B2B4-4EB974FC3084}">
      <x14:pivotCacheDefinition pivotCacheId="10236986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x v="0"/>
    <s v="Leite condensado"/>
    <n v="6"/>
    <n v="395"/>
    <n v="395"/>
    <n v="1.5189873417721518E-2"/>
    <n v="6"/>
    <n v="19.2"/>
    <n v="370"/>
    <n v="20.555555555555557"/>
    <n v="0"/>
    <n v="1.2333333333333334"/>
    <n v="1"/>
    <n v="0"/>
    <n v="21.933333333333334"/>
    <n v="1.067027027027027"/>
    <n v="1.9953405405405404"/>
    <n v="0.87"/>
    <n v="0.92831351351351354"/>
    <n v="0.46524064171122997"/>
    <n v="19.082000000000001"/>
  </r>
  <r>
    <x v="0"/>
    <x v="0"/>
    <s v="Creme de leite"/>
    <n v="3"/>
    <n v="200"/>
    <n v="100"/>
    <n v="1.4999999999999999E-2"/>
    <n v="1.5"/>
    <m/>
    <m/>
    <m/>
    <m/>
    <m/>
    <m/>
    <m/>
    <m/>
    <m/>
    <m/>
    <m/>
    <m/>
    <m/>
    <m/>
  </r>
  <r>
    <x v="0"/>
    <x v="0"/>
    <s v="Leite em pó"/>
    <n v="20"/>
    <n v="400"/>
    <n v="126"/>
    <n v="0.05"/>
    <n v="6.3000000000000007"/>
    <m/>
    <m/>
    <m/>
    <m/>
    <m/>
    <m/>
    <m/>
    <m/>
    <m/>
    <m/>
    <m/>
    <m/>
    <m/>
    <m/>
  </r>
  <r>
    <x v="0"/>
    <x v="0"/>
    <s v="NUTELLA"/>
    <n v="45"/>
    <n v="700"/>
    <n v="84"/>
    <n v="6.4285714285714279E-2"/>
    <n v="5.3999999999999995"/>
    <m/>
    <m/>
    <m/>
    <m/>
    <m/>
    <m/>
    <m/>
    <m/>
    <m/>
    <m/>
    <m/>
    <m/>
    <m/>
    <m/>
  </r>
  <r>
    <x v="1"/>
    <x v="1"/>
    <s v="Leite condensado"/>
    <n v="6"/>
    <n v="395"/>
    <n v="395"/>
    <n v="1.5189873417721518E-2"/>
    <n v="6"/>
    <n v="10.47448"/>
    <n v="338"/>
    <n v="18.777777777777779"/>
    <n v="1"/>
    <n v="1.1266666666666667"/>
    <n v="1"/>
    <n v="0"/>
    <n v="14.101146666666667"/>
    <n v="0.75094863905325437"/>
    <n v="1.659596492307692"/>
    <n v="1.21"/>
    <n v="0.90864785325443775"/>
    <n v="0.54751131221719462"/>
    <n v="17.062387466666664"/>
  </r>
  <r>
    <x v="1"/>
    <x v="1"/>
    <s v="Creme de leite"/>
    <n v="3"/>
    <n v="200"/>
    <n v="100"/>
    <n v="1.4999999999999999E-2"/>
    <n v="1.5"/>
    <m/>
    <m/>
    <m/>
    <m/>
    <m/>
    <m/>
    <m/>
    <m/>
    <m/>
    <m/>
    <m/>
    <m/>
    <m/>
    <m/>
  </r>
  <r>
    <x v="1"/>
    <x v="1"/>
    <s v="Granulado"/>
    <n v="12.99"/>
    <n v="500"/>
    <n v="76"/>
    <n v="2.598E-2"/>
    <n v="1.97448"/>
    <m/>
    <m/>
    <m/>
    <m/>
    <m/>
    <m/>
    <m/>
    <m/>
    <m/>
    <m/>
    <m/>
    <m/>
    <m/>
    <m/>
  </r>
  <r>
    <x v="1"/>
    <x v="1"/>
    <s v="Nescau"/>
    <n v="8"/>
    <n v="400"/>
    <n v="50"/>
    <n v="0.02"/>
    <n v="1"/>
    <m/>
    <m/>
    <m/>
    <m/>
    <m/>
    <m/>
    <m/>
    <m/>
    <m/>
    <m/>
    <m/>
    <m/>
    <m/>
    <m/>
  </r>
  <r>
    <x v="1"/>
    <x v="2"/>
    <s v="Leite condensado"/>
    <n v="6"/>
    <n v="395"/>
    <n v="395"/>
    <n v="1.5189873417721518E-2"/>
    <n v="6"/>
    <n v="12.45809523809524"/>
    <n v="337"/>
    <n v="18.722222222222221"/>
    <n v="0"/>
    <n v="1.1233333333333333"/>
    <n v="1"/>
    <n v="0"/>
    <n v="15.081428571428573"/>
    <n v="0.80553624417125913"/>
    <n v="1.6594046629927939"/>
    <n v="1.06"/>
    <n v="0.85386841882153475"/>
    <n v="0.5145631067961165"/>
    <n v="15.986314285714288"/>
  </r>
  <r>
    <x v="1"/>
    <x v="2"/>
    <s v="Creme de leite"/>
    <n v="3"/>
    <n v="200"/>
    <n v="100"/>
    <n v="1.4999999999999999E-2"/>
    <n v="1.5"/>
    <m/>
    <m/>
    <m/>
    <m/>
    <m/>
    <m/>
    <m/>
    <m/>
    <m/>
    <m/>
    <m/>
    <m/>
    <m/>
    <m/>
  </r>
  <r>
    <x v="1"/>
    <x v="2"/>
    <s v="Paçoca"/>
    <n v="10.96"/>
    <n v="210"/>
    <n v="95"/>
    <n v="5.2190476190476197E-2"/>
    <n v="4.9580952380952388"/>
    <m/>
    <m/>
    <m/>
    <m/>
    <m/>
    <m/>
    <m/>
    <m/>
    <m/>
    <m/>
    <m/>
    <m/>
    <m/>
    <m/>
  </r>
  <r>
    <x v="1"/>
    <x v="3"/>
    <s v="Leite condensado"/>
    <n v="6"/>
    <n v="395"/>
    <n v="395"/>
    <n v="1.5189873417721518E-2"/>
    <n v="6"/>
    <n v="9.7249999999999996"/>
    <n v="390"/>
    <n v="21.666666666666668"/>
    <n v="1"/>
    <n v="1.3"/>
    <n v="1"/>
    <n v="0"/>
    <n v="13.525"/>
    <n v="0.62423076923076926"/>
    <n v="1.6604538461538461"/>
    <n v="1.66"/>
    <n v="1.0362230769230769"/>
    <n v="0.62406015037593987"/>
    <n v="22.451499999999999"/>
  </r>
  <r>
    <x v="1"/>
    <x v="3"/>
    <s v="Creme de leite"/>
    <n v="3"/>
    <n v="200"/>
    <n v="100"/>
    <n v="1.4999999999999999E-2"/>
    <n v="1.5"/>
    <m/>
    <m/>
    <m/>
    <m/>
    <m/>
    <m/>
    <m/>
    <m/>
    <m/>
    <m/>
    <m/>
    <m/>
    <m/>
    <m/>
  </r>
  <r>
    <x v="1"/>
    <x v="3"/>
    <s v="Coco"/>
    <n v="4.45"/>
    <n v="100"/>
    <n v="50"/>
    <n v="4.4500000000000005E-2"/>
    <n v="2.2250000000000001"/>
    <m/>
    <m/>
    <m/>
    <m/>
    <m/>
    <m/>
    <m/>
    <m/>
    <m/>
    <m/>
    <m/>
    <m/>
    <m/>
    <m/>
  </r>
  <r>
    <x v="0"/>
    <x v="4"/>
    <s v="Leite condensado"/>
    <n v="6"/>
    <n v="395"/>
    <n v="395"/>
    <n v="1.5189873417721518E-2"/>
    <n v="6"/>
    <n v="24.811499999999999"/>
    <n v="410"/>
    <n v="22.777777777777779"/>
    <n v="0"/>
    <n v="1.3666666666666667"/>
    <n v="1"/>
    <n v="0"/>
    <n v="27.678166666666666"/>
    <n v="1.2151390243902438"/>
    <n v="2.0049793902439021"/>
    <n v="0.65"/>
    <n v="0.78984036585365847"/>
    <n v="0.39393939393939398"/>
    <n v="17.990808333333334"/>
  </r>
  <r>
    <x v="0"/>
    <x v="4"/>
    <s v="Creme de leite"/>
    <n v="3"/>
    <n v="200"/>
    <n v="100"/>
    <n v="1.4999999999999999E-2"/>
    <n v="1.5"/>
    <m/>
    <m/>
    <m/>
    <m/>
    <m/>
    <m/>
    <m/>
    <m/>
    <m/>
    <m/>
    <m/>
    <m/>
    <m/>
    <m/>
  </r>
  <r>
    <x v="0"/>
    <x v="4"/>
    <s v="Choc granule (padre)"/>
    <n v="49.3"/>
    <n v="400"/>
    <n v="92"/>
    <n v="0.12325"/>
    <n v="11.339"/>
    <m/>
    <m/>
    <m/>
    <m/>
    <m/>
    <m/>
    <m/>
    <m/>
    <m/>
    <m/>
    <m/>
    <m/>
    <m/>
    <m/>
  </r>
  <r>
    <x v="0"/>
    <x v="4"/>
    <s v="Cacau 50%"/>
    <n v="23.89"/>
    <n v="200"/>
    <n v="50"/>
    <n v="0.11945"/>
    <n v="5.9725000000000001"/>
    <m/>
    <m/>
    <m/>
    <m/>
    <m/>
    <m/>
    <m/>
    <m/>
    <m/>
    <m/>
    <m/>
    <m/>
    <m/>
    <m/>
  </r>
  <r>
    <x v="0"/>
    <x v="5"/>
    <s v="Leite condensado"/>
    <n v="6"/>
    <n v="395"/>
    <n v="395"/>
    <n v="1.5189873417721518E-2"/>
    <n v="6"/>
    <n v="10.385999999999999"/>
    <n v="348"/>
    <n v="19.333333333333332"/>
    <n v="1"/>
    <n v="1.1599999999999999"/>
    <n v="1"/>
    <n v="0"/>
    <n v="14.045999999999999"/>
    <n v="0.7265172413793104"/>
    <n v="1.9979224137931035"/>
    <n v="1.75"/>
    <n v="1.2714051724137931"/>
    <n v="0.63636363636363635"/>
    <n v="24.580500000000001"/>
  </r>
  <r>
    <x v="0"/>
    <x v="5"/>
    <s v="Creme de leite"/>
    <n v="3"/>
    <n v="200"/>
    <n v="100"/>
    <n v="1.4999999999999999E-2"/>
    <n v="1.5"/>
    <m/>
    <m/>
    <m/>
    <m/>
    <m/>
    <m/>
    <m/>
    <m/>
    <m/>
    <m/>
    <m/>
    <m/>
    <m/>
    <m/>
  </r>
  <r>
    <x v="0"/>
    <x v="5"/>
    <s v="Doce de leite"/>
    <n v="16.649999999999999"/>
    <n v="900"/>
    <n v="156"/>
    <n v="1.8499999999999999E-2"/>
    <n v="2.8859999999999997"/>
    <m/>
    <m/>
    <m/>
    <m/>
    <m/>
    <m/>
    <m/>
    <m/>
    <m/>
    <m/>
    <m/>
    <m/>
    <m/>
    <m/>
  </r>
  <r>
    <x v="1"/>
    <x v="6"/>
    <s v="Leite condensado"/>
    <n v="6"/>
    <n v="395"/>
    <n v="395"/>
    <n v="1.5189873417721518E-2"/>
    <n v="6"/>
    <n v="12.100000000000001"/>
    <n v="370"/>
    <n v="20.555555555555557"/>
    <n v="0"/>
    <n v="1.2333333333333334"/>
    <n v="1"/>
    <n v="0"/>
    <n v="14.833333333333336"/>
    <n v="0.72162162162162169"/>
    <n v="1.65972972972973"/>
    <n v="1.3"/>
    <n v="0.93810810810810819"/>
    <n v="0.56521739130434778"/>
    <n v="19.283333333333335"/>
  </r>
  <r>
    <x v="1"/>
    <x v="6"/>
    <s v="Creme de leite"/>
    <n v="3"/>
    <n v="200"/>
    <n v="100"/>
    <n v="1.4999999999999999E-2"/>
    <n v="1.5"/>
    <m/>
    <m/>
    <m/>
    <m/>
    <m/>
    <m/>
    <m/>
    <m/>
    <m/>
    <m/>
    <m/>
    <m/>
    <m/>
    <m/>
  </r>
  <r>
    <x v="1"/>
    <x v="6"/>
    <s v="Leite em pó"/>
    <n v="20"/>
    <n v="400"/>
    <n v="92"/>
    <n v="0.05"/>
    <n v="4.6000000000000005"/>
    <m/>
    <m/>
    <m/>
    <m/>
    <m/>
    <m/>
    <m/>
    <m/>
    <m/>
    <m/>
    <m/>
    <m/>
    <m/>
    <m/>
  </r>
  <r>
    <x v="1"/>
    <x v="7"/>
    <s v="Leite condensado"/>
    <n v="6"/>
    <n v="395"/>
    <n v="395"/>
    <n v="1.5189873417721518E-2"/>
    <n v="6"/>
    <n v="8.5"/>
    <n v="338"/>
    <n v="18.777777777777779"/>
    <n v="1"/>
    <n v="2.2533333333333334"/>
    <n v="1"/>
    <n v="0"/>
    <n v="13.253333333333334"/>
    <n v="0.68573964497041417"/>
    <n v="1.6594899408284023"/>
    <n v="1.42"/>
    <n v="0.97375029585798811"/>
    <n v="0.58677685950413228"/>
    <n v="18.284866666666666"/>
  </r>
  <r>
    <x v="1"/>
    <x v="7"/>
    <s v="Creme de leite"/>
    <n v="3"/>
    <n v="200"/>
    <n v="100"/>
    <n v="1.4999999999999999E-2"/>
    <n v="1.5"/>
    <m/>
    <m/>
    <m/>
    <m/>
    <m/>
    <m/>
    <m/>
    <m/>
    <m/>
    <m/>
    <m/>
    <m/>
    <m/>
    <m/>
  </r>
  <r>
    <x v="1"/>
    <x v="7"/>
    <s v="Nescau"/>
    <n v="8"/>
    <n v="400"/>
    <n v="50"/>
    <n v="0.02"/>
    <n v="1"/>
    <m/>
    <m/>
    <m/>
    <m/>
    <m/>
    <m/>
    <m/>
    <m/>
    <m/>
    <m/>
    <m/>
    <m/>
    <m/>
    <m/>
  </r>
  <r>
    <x v="1"/>
    <x v="7"/>
    <s v="Leite condensado"/>
    <n v="6"/>
    <n v="395"/>
    <n v="395"/>
    <n v="1.5189873417721518E-2"/>
    <n v="6"/>
    <n v="10"/>
    <n v="338"/>
    <n v="18.777777777777779"/>
    <n v="1"/>
    <m/>
    <n v="1"/>
    <n v="0"/>
    <n v="12.5"/>
    <m/>
    <m/>
    <m/>
    <m/>
    <m/>
    <m/>
  </r>
  <r>
    <x v="1"/>
    <x v="7"/>
    <s v="Creme de leite"/>
    <n v="3"/>
    <n v="200"/>
    <n v="100"/>
    <n v="1.4999999999999999E-2"/>
    <n v="1.5"/>
    <m/>
    <m/>
    <m/>
    <m/>
    <m/>
    <m/>
    <m/>
    <m/>
    <m/>
    <m/>
    <m/>
    <m/>
    <m/>
    <m/>
  </r>
  <r>
    <x v="1"/>
    <x v="7"/>
    <s v="Leite em pó"/>
    <n v="20"/>
    <n v="400"/>
    <n v="50"/>
    <n v="0.05"/>
    <n v="2.5"/>
    <m/>
    <m/>
    <m/>
    <m/>
    <m/>
    <m/>
    <m/>
    <m/>
    <m/>
    <m/>
    <m/>
    <m/>
    <m/>
    <m/>
  </r>
  <r>
    <x v="1"/>
    <x v="8"/>
    <s v="Leite condensado"/>
    <n v="6"/>
    <n v="395"/>
    <n v="395"/>
    <n v="1.5189873417721518E-2"/>
    <n v="6"/>
    <n v="10.58"/>
    <n v="344"/>
    <n v="19.111111111111111"/>
    <n v="0"/>
    <n v="1.1466666666666665"/>
    <n v="1"/>
    <n v="0"/>
    <n v="13.226666666666667"/>
    <n v="0.69209302325581401"/>
    <n v="1.6610232558139537"/>
    <n v="1.4"/>
    <n v="0.96893023255813959"/>
    <n v="0.58333333333333326"/>
    <n v="18.517333333333333"/>
  </r>
  <r>
    <x v="1"/>
    <x v="8"/>
    <s v="Creme de leite"/>
    <n v="3"/>
    <n v="200"/>
    <n v="100"/>
    <n v="1.4999999999999999E-2"/>
    <n v="1.5"/>
    <m/>
    <m/>
    <m/>
    <m/>
    <m/>
    <m/>
    <m/>
    <m/>
    <m/>
    <m/>
    <m/>
    <m/>
    <m/>
    <m/>
  </r>
  <r>
    <x v="1"/>
    <x v="8"/>
    <s v="Açucar colorido"/>
    <n v="15"/>
    <n v="500"/>
    <n v="3"/>
    <n v="0.03"/>
    <n v="0.09"/>
    <m/>
    <m/>
    <m/>
    <m/>
    <m/>
    <m/>
    <m/>
    <m/>
    <m/>
    <m/>
    <m/>
    <m/>
    <m/>
    <m/>
  </r>
  <r>
    <x v="1"/>
    <x v="8"/>
    <s v="NESQUIK"/>
    <n v="11.96"/>
    <n v="200"/>
    <n v="50"/>
    <n v="5.9800000000000006E-2"/>
    <n v="2.99"/>
    <m/>
    <m/>
    <m/>
    <m/>
    <m/>
    <m/>
    <m/>
    <m/>
    <m/>
    <m/>
    <m/>
    <m/>
    <m/>
    <m/>
  </r>
  <r>
    <x v="0"/>
    <x v="9"/>
    <s v="Leite condensado"/>
    <n v="6"/>
    <n v="395"/>
    <n v="395"/>
    <n v="1.5189873417721518E-2"/>
    <n v="6"/>
    <n v="15.42048"/>
    <n v="338"/>
    <n v="18.777777777777779"/>
    <n v="0"/>
    <n v="1.1266666666666667"/>
    <n v="1"/>
    <n v="0"/>
    <n v="18.047146666666666"/>
    <n v="0.96109065088757395"/>
    <n v="1.9990685538461537"/>
    <n v="1.08"/>
    <n v="1.0379779029585798"/>
    <n v="0.51923076923076927"/>
    <n v="19.490918399999998"/>
  </r>
  <r>
    <x v="0"/>
    <x v="9"/>
    <s v="Creme de leite"/>
    <n v="3"/>
    <n v="200"/>
    <n v="100"/>
    <n v="1.4999999999999999E-2"/>
    <n v="1.5"/>
    <m/>
    <m/>
    <m/>
    <m/>
    <m/>
    <m/>
    <m/>
    <m/>
    <m/>
    <m/>
    <m/>
    <m/>
    <m/>
    <m/>
  </r>
  <r>
    <x v="0"/>
    <x v="9"/>
    <s v="Nescau"/>
    <n v="8"/>
    <n v="400"/>
    <n v="50"/>
    <n v="0.02"/>
    <n v="1"/>
    <m/>
    <m/>
    <m/>
    <m/>
    <m/>
    <m/>
    <m/>
    <m/>
    <m/>
    <m/>
    <m/>
    <m/>
    <m/>
    <m/>
  </r>
  <r>
    <x v="0"/>
    <x v="9"/>
    <s v="Granulado"/>
    <n v="12.99"/>
    <n v="500"/>
    <n v="76"/>
    <n v="2.598E-2"/>
    <n v="1.97448"/>
    <m/>
    <m/>
    <m/>
    <m/>
    <m/>
    <m/>
    <m/>
    <m/>
    <m/>
    <m/>
    <m/>
    <m/>
    <m/>
    <m/>
  </r>
  <r>
    <x v="0"/>
    <x v="9"/>
    <s v="Leite condensado"/>
    <n v="6"/>
    <n v="395"/>
    <n v="197.5"/>
    <n v="1.5189873417721518E-2"/>
    <n v="3"/>
    <m/>
    <m/>
    <m/>
    <m/>
    <m/>
    <m/>
    <m/>
    <m/>
    <m/>
    <m/>
    <m/>
    <m/>
    <m/>
    <m/>
  </r>
  <r>
    <x v="0"/>
    <x v="9"/>
    <s v="Creme de leite"/>
    <n v="3"/>
    <n v="200"/>
    <n v="50"/>
    <n v="1.4999999999999999E-2"/>
    <n v="0.75"/>
    <m/>
    <m/>
    <m/>
    <m/>
    <m/>
    <m/>
    <m/>
    <m/>
    <m/>
    <m/>
    <m/>
    <m/>
    <m/>
    <m/>
  </r>
  <r>
    <x v="0"/>
    <x v="9"/>
    <s v="NESQUIK"/>
    <n v="11.96"/>
    <n v="200"/>
    <n v="20"/>
    <n v="5.9800000000000006E-2"/>
    <n v="1.1960000000000002"/>
    <m/>
    <m/>
    <m/>
    <m/>
    <m/>
    <m/>
    <m/>
    <m/>
    <m/>
    <m/>
    <m/>
    <m/>
    <m/>
    <m/>
  </r>
  <r>
    <x v="0"/>
    <x v="10"/>
    <s v="Leite condensado"/>
    <n v="6"/>
    <n v="395"/>
    <n v="395"/>
    <n v="1.5189873417721518E-2"/>
    <n v="6"/>
    <n v="11.477679999999999"/>
    <n v="338"/>
    <n v="18.777777777777779"/>
    <n v="1"/>
    <n v="1.1266666666666667"/>
    <n v="1"/>
    <n v="0"/>
    <n v="15.104346666666666"/>
    <n v="0.80437349112426026"/>
    <n v="2.0028899928994082"/>
    <n v="1.49"/>
    <n v="1.1985165017751478"/>
    <n v="0.59839357429718876"/>
    <n v="22.505476533333333"/>
  </r>
  <r>
    <x v="0"/>
    <x v="10"/>
    <s v="Creme de leite"/>
    <n v="3"/>
    <n v="200"/>
    <n v="100"/>
    <n v="1.4999999999999999E-2"/>
    <n v="1.5"/>
    <m/>
    <m/>
    <m/>
    <m/>
    <m/>
    <m/>
    <m/>
    <m/>
    <m/>
    <m/>
    <m/>
    <m/>
    <m/>
    <m/>
  </r>
  <r>
    <x v="0"/>
    <x v="10"/>
    <s v="CHOCOBOL"/>
    <n v="19.59"/>
    <n v="500"/>
    <n v="76"/>
    <n v="3.918E-2"/>
    <n v="2.9776799999999999"/>
    <m/>
    <m/>
    <m/>
    <m/>
    <m/>
    <m/>
    <m/>
    <m/>
    <m/>
    <m/>
    <m/>
    <m/>
    <m/>
    <m/>
  </r>
  <r>
    <x v="0"/>
    <x v="10"/>
    <s v="Nescau"/>
    <n v="8"/>
    <n v="400"/>
    <n v="50"/>
    <n v="0.02"/>
    <n v="1"/>
    <m/>
    <m/>
    <m/>
    <m/>
    <m/>
    <m/>
    <m/>
    <m/>
    <m/>
    <m/>
    <m/>
    <m/>
    <m/>
    <m/>
  </r>
  <r>
    <x v="0"/>
    <x v="11"/>
    <s v="Leite condensado"/>
    <n v="6"/>
    <n v="395"/>
    <n v="395"/>
    <n v="1.5189873417721518E-2"/>
    <n v="6"/>
    <n v="11.404999999999999"/>
    <n v="338"/>
    <n v="18.777777777777779"/>
    <n v="1"/>
    <n v="1.1266666666666667"/>
    <n v="1"/>
    <n v="0"/>
    <n v="15.031666666666666"/>
    <n v="0.80050295857988163"/>
    <n v="2.001257396449704"/>
    <n v="1.5"/>
    <n v="1.2007544378698225"/>
    <n v="0.60000000000000009"/>
    <n v="22.547500000000003"/>
  </r>
  <r>
    <x v="0"/>
    <x v="11"/>
    <s v="Creme de leite"/>
    <n v="3"/>
    <n v="200"/>
    <n v="100"/>
    <n v="1.4999999999999999E-2"/>
    <n v="1.5"/>
    <m/>
    <m/>
    <m/>
    <m/>
    <m/>
    <m/>
    <m/>
    <m/>
    <m/>
    <m/>
    <m/>
    <m/>
    <m/>
    <m/>
  </r>
  <r>
    <x v="0"/>
    <x v="11"/>
    <s v="Cacau 50%"/>
    <n v="23.89"/>
    <n v="200"/>
    <n v="20"/>
    <n v="0.11945"/>
    <n v="2.3890000000000002"/>
    <m/>
    <m/>
    <m/>
    <m/>
    <m/>
    <m/>
    <m/>
    <m/>
    <m/>
    <m/>
    <m/>
    <m/>
    <m/>
    <m/>
  </r>
  <r>
    <x v="0"/>
    <x v="11"/>
    <s v="Amendoim torrado"/>
    <n v="18.95"/>
    <n v="1000"/>
    <n v="80"/>
    <n v="1.8949999999999998E-2"/>
    <n v="1.5159999999999998"/>
    <m/>
    <m/>
    <m/>
    <m/>
    <m/>
    <m/>
    <m/>
    <m/>
    <m/>
    <m/>
    <m/>
    <m/>
    <m/>
    <m/>
  </r>
  <r>
    <x v="0"/>
    <x v="12"/>
    <s v="Leite condensado"/>
    <n v="6"/>
    <n v="395"/>
    <n v="395"/>
    <n v="1.5189873417721518E-2"/>
    <n v="6"/>
    <n v="11.547972972972973"/>
    <n v="338"/>
    <n v="18.777777777777779"/>
    <n v="0"/>
    <n v="1.1266666666666667"/>
    <n v="1"/>
    <n v="0"/>
    <n v="14.17463963963964"/>
    <n v="0.75486246601631213"/>
    <n v="2.0003855349432271"/>
    <n v="1.65"/>
    <n v="1.245523068926915"/>
    <n v="0.62264150943396224"/>
    <n v="23.388155405405406"/>
  </r>
  <r>
    <x v="0"/>
    <x v="12"/>
    <s v="Creme de leite"/>
    <n v="3"/>
    <n v="200"/>
    <n v="100"/>
    <n v="1.4999999999999999E-2"/>
    <n v="1.5"/>
    <m/>
    <m/>
    <m/>
    <m/>
    <m/>
    <m/>
    <m/>
    <m/>
    <m/>
    <m/>
    <m/>
    <m/>
    <m/>
    <m/>
  </r>
  <r>
    <x v="0"/>
    <x v="12"/>
    <s v="Nescau"/>
    <n v="8"/>
    <n v="400"/>
    <n v="50"/>
    <n v="0.02"/>
    <n v="1"/>
    <m/>
    <m/>
    <m/>
    <m/>
    <m/>
    <m/>
    <m/>
    <m/>
    <m/>
    <m/>
    <m/>
    <m/>
    <m/>
    <m/>
  </r>
  <r>
    <x v="0"/>
    <x v="12"/>
    <s v="Coco ralado"/>
    <n v="38"/>
    <n v="1000"/>
    <n v="76"/>
    <n v="3.7999999999999999E-2"/>
    <n v="2.8879999999999999"/>
    <m/>
    <m/>
    <m/>
    <m/>
    <m/>
    <m/>
    <m/>
    <m/>
    <m/>
    <m/>
    <m/>
    <m/>
    <m/>
    <m/>
  </r>
  <r>
    <x v="0"/>
    <x v="12"/>
    <s v="Massa de beijinho"/>
    <n v="19.73"/>
    <n v="370"/>
    <n v="3"/>
    <n v="5.3324324324324324E-2"/>
    <n v="0.15997297297297297"/>
    <m/>
    <m/>
    <m/>
    <m/>
    <m/>
    <m/>
    <m/>
    <m/>
    <m/>
    <m/>
    <m/>
    <m/>
    <m/>
    <m/>
  </r>
  <r>
    <x v="0"/>
    <x v="13"/>
    <s v="Leite condensado"/>
    <n v="6"/>
    <n v="395"/>
    <n v="395"/>
    <n v="1.5189873417721518E-2"/>
    <n v="6"/>
    <n v="24.366999999999997"/>
    <n v="338"/>
    <n v="18.777777777777779"/>
    <n v="0"/>
    <n v="1.1266666666666667"/>
    <n v="1"/>
    <n v="0"/>
    <n v="26.993666666666662"/>
    <n v="1.4375325443786979"/>
    <n v="1.99817023668639"/>
    <n v="0.39"/>
    <n v="0.56063769230769223"/>
    <n v="0.28057553956834536"/>
    <n v="10.527529999999999"/>
  </r>
  <r>
    <x v="0"/>
    <x v="13"/>
    <s v="Creme de leite"/>
    <n v="3"/>
    <n v="200"/>
    <n v="100"/>
    <n v="1.4999999999999999E-2"/>
    <n v="1.5"/>
    <m/>
    <m/>
    <m/>
    <m/>
    <m/>
    <m/>
    <m/>
    <m/>
    <m/>
    <m/>
    <m/>
    <m/>
    <m/>
    <m/>
  </r>
  <r>
    <x v="0"/>
    <x v="13"/>
    <s v="Choc granule (padre)"/>
    <n v="49.3"/>
    <n v="400"/>
    <n v="76"/>
    <n v="0.12325"/>
    <n v="9.3669999999999991"/>
    <m/>
    <m/>
    <m/>
    <m/>
    <m/>
    <m/>
    <m/>
    <m/>
    <m/>
    <m/>
    <m/>
    <m/>
    <m/>
    <m/>
  </r>
  <r>
    <x v="0"/>
    <x v="13"/>
    <s v="Cacau 70%"/>
    <n v="30"/>
    <n v="200"/>
    <n v="50"/>
    <n v="0.15"/>
    <n v="7.5"/>
    <m/>
    <m/>
    <m/>
    <m/>
    <m/>
    <m/>
    <m/>
    <m/>
    <m/>
    <m/>
    <m/>
    <m/>
    <m/>
    <m/>
  </r>
  <r>
    <x v="0"/>
    <x v="14"/>
    <s v="Leite condensado"/>
    <n v="6"/>
    <n v="395"/>
    <n v="395"/>
    <n v="1.5189873417721518E-2"/>
    <n v="6"/>
    <n v="10.9445"/>
    <n v="338"/>
    <n v="18.777777777777779"/>
    <n v="1"/>
    <n v="1.1266666666666667"/>
    <n v="1"/>
    <n v="0"/>
    <n v="14.571166666666667"/>
    <n v="0.77597928994082832"/>
    <n v="2.002026568047337"/>
    <n v="1.58"/>
    <n v="1.2260472781065088"/>
    <n v="0.61240310077519389"/>
    <n v="23.022443333333332"/>
  </r>
  <r>
    <x v="0"/>
    <x v="14"/>
    <s v="Creme de leite"/>
    <n v="3"/>
    <n v="200"/>
    <n v="100"/>
    <n v="1.4999999999999999E-2"/>
    <n v="1.5"/>
    <m/>
    <m/>
    <m/>
    <m/>
    <m/>
    <m/>
    <m/>
    <m/>
    <m/>
    <m/>
    <m/>
    <m/>
    <m/>
    <m/>
  </r>
  <r>
    <x v="0"/>
    <x v="14"/>
    <s v="Cacau 50%"/>
    <n v="23.89"/>
    <n v="200"/>
    <n v="10"/>
    <n v="0.11945"/>
    <n v="1.1945000000000001"/>
    <m/>
    <m/>
    <m/>
    <m/>
    <m/>
    <m/>
    <m/>
    <m/>
    <m/>
    <m/>
    <m/>
    <m/>
    <m/>
    <m/>
  </r>
  <r>
    <x v="0"/>
    <x v="14"/>
    <s v="Café"/>
    <n v="18"/>
    <n v="160"/>
    <n v="20"/>
    <n v="0.1125"/>
    <n v="2.25"/>
    <m/>
    <m/>
    <m/>
    <m/>
    <m/>
    <m/>
    <m/>
    <m/>
    <m/>
    <m/>
    <m/>
    <m/>
    <m/>
    <m/>
  </r>
  <r>
    <x v="0"/>
    <x v="15"/>
    <s v="Leite condensado"/>
    <n v="6"/>
    <n v="395"/>
    <n v="395"/>
    <n v="1.5189873417721518E-2"/>
    <n v="6"/>
    <n v="11.9998"/>
    <n v="338"/>
    <n v="18.777777777777779"/>
    <n v="0"/>
    <n v="1.1266666666666667"/>
    <n v="1"/>
    <n v="0"/>
    <n v="14.626466666666667"/>
    <n v="0.7789242603550296"/>
    <n v="2.0018353491124263"/>
    <n v="1.57"/>
    <n v="1.2229110887573966"/>
    <n v="0.6108949416342413"/>
    <n v="22.963552666666672"/>
  </r>
  <r>
    <x v="0"/>
    <x v="15"/>
    <s v="Creme de leite"/>
    <n v="3"/>
    <n v="200"/>
    <n v="100"/>
    <n v="1.4999999999999999E-2"/>
    <n v="1.5"/>
    <m/>
    <m/>
    <m/>
    <m/>
    <m/>
    <m/>
    <m/>
    <m/>
    <m/>
    <m/>
    <m/>
    <m/>
    <m/>
    <m/>
  </r>
  <r>
    <x v="0"/>
    <x v="15"/>
    <s v="M&amp;M"/>
    <n v="18.420000000000002"/>
    <n v="500"/>
    <n v="95"/>
    <n v="3.6840000000000005E-2"/>
    <n v="3.4998000000000005"/>
    <m/>
    <m/>
    <m/>
    <m/>
    <m/>
    <m/>
    <m/>
    <m/>
    <m/>
    <m/>
    <m/>
    <m/>
    <m/>
    <m/>
  </r>
  <r>
    <x v="0"/>
    <x v="15"/>
    <s v="Nescau"/>
    <n v="8"/>
    <n v="400"/>
    <n v="50"/>
    <n v="0.02"/>
    <n v="1"/>
    <m/>
    <m/>
    <m/>
    <m/>
    <m/>
    <m/>
    <m/>
    <m/>
    <m/>
    <m/>
    <m/>
    <m/>
    <m/>
    <m/>
  </r>
  <r>
    <x v="0"/>
    <x v="16"/>
    <s v="Leite condensado"/>
    <n v="6"/>
    <n v="395"/>
    <n v="395"/>
    <n v="1.5189873417721518E-2"/>
    <n v="6"/>
    <n v="8.5"/>
    <n v="338"/>
    <n v="18.777777777777779"/>
    <n v="1"/>
    <n v="1.1266666666666667"/>
    <n v="1"/>
    <n v="0"/>
    <n v="12.126666666666667"/>
    <n v="0.6638235294117647"/>
    <n v="1.9981088235294115"/>
    <n v="2.0099999999999998"/>
    <n v="1.3342852941176468"/>
    <n v="0.66777408637873747"/>
    <n v="50.554587254901946"/>
  </r>
  <r>
    <x v="0"/>
    <x v="16"/>
    <s v="Creme de leite"/>
    <n v="3"/>
    <n v="200"/>
    <n v="100"/>
    <n v="1.4999999999999999E-2"/>
    <n v="1.5"/>
    <m/>
    <m/>
    <m/>
    <m/>
    <m/>
    <m/>
    <m/>
    <m/>
    <m/>
    <m/>
    <m/>
    <m/>
    <m/>
    <m/>
  </r>
  <r>
    <x v="0"/>
    <x v="16"/>
    <s v="Nescau"/>
    <n v="8"/>
    <n v="400"/>
    <n v="50"/>
    <n v="0.02"/>
    <n v="1"/>
    <m/>
    <m/>
    <m/>
    <m/>
    <m/>
    <m/>
    <m/>
    <m/>
    <m/>
    <m/>
    <m/>
    <m/>
    <m/>
    <m/>
  </r>
  <r>
    <x v="0"/>
    <x v="16"/>
    <s v="Leite condensado"/>
    <n v="6"/>
    <n v="395"/>
    <n v="395"/>
    <n v="1.5189873417721518E-2"/>
    <n v="6"/>
    <n v="10.49"/>
    <n v="344"/>
    <n v="19.111111111111111"/>
    <n v="1"/>
    <m/>
    <n v="1"/>
    <n v="0"/>
    <n v="12.99"/>
    <m/>
    <m/>
    <m/>
    <m/>
    <m/>
    <m/>
  </r>
  <r>
    <x v="0"/>
    <x v="16"/>
    <s v="Creme de leite"/>
    <n v="3"/>
    <n v="200"/>
    <n v="100"/>
    <n v="1.4999999999999999E-2"/>
    <n v="1.5"/>
    <m/>
    <m/>
    <m/>
    <m/>
    <m/>
    <m/>
    <m/>
    <m/>
    <m/>
    <m/>
    <m/>
    <m/>
    <m/>
    <m/>
  </r>
  <r>
    <x v="0"/>
    <x v="16"/>
    <s v="NESQUIK"/>
    <n v="11.96"/>
    <n v="200"/>
    <n v="50"/>
    <n v="5.9800000000000006E-2"/>
    <n v="2.99"/>
    <m/>
    <m/>
    <m/>
    <m/>
    <m/>
    <m/>
    <m/>
    <m/>
    <m/>
    <m/>
    <m/>
    <m/>
    <m/>
    <m/>
  </r>
  <r>
    <x v="0"/>
    <x v="16"/>
    <s v="Leite condensado"/>
    <n v="6"/>
    <n v="395"/>
    <n v="395"/>
    <n v="1.5189873417721518E-2"/>
    <n v="6"/>
    <n v="10"/>
    <n v="338"/>
    <n v="18.777777777777779"/>
    <n v="1"/>
    <m/>
    <n v="1"/>
    <n v="0"/>
    <n v="12.5"/>
    <m/>
    <m/>
    <m/>
    <m/>
    <m/>
    <m/>
  </r>
  <r>
    <x v="0"/>
    <x v="16"/>
    <s v="Creme de leite"/>
    <n v="3"/>
    <n v="200"/>
    <n v="100"/>
    <n v="1.4999999999999999E-2"/>
    <n v="1.5"/>
    <m/>
    <m/>
    <m/>
    <m/>
    <m/>
    <m/>
    <m/>
    <m/>
    <m/>
    <m/>
    <m/>
    <m/>
    <m/>
    <m/>
  </r>
  <r>
    <x v="0"/>
    <x v="16"/>
    <s v="Leite em pó"/>
    <n v="20"/>
    <n v="400"/>
    <n v="50"/>
    <n v="0.05"/>
    <n v="2.5"/>
    <m/>
    <m/>
    <m/>
    <m/>
    <m/>
    <m/>
    <m/>
    <m/>
    <m/>
    <m/>
    <m/>
    <m/>
    <m/>
    <m/>
  </r>
  <r>
    <x v="0"/>
    <x v="17"/>
    <s v="Leite condensado"/>
    <n v="6"/>
    <n v="395"/>
    <n v="395"/>
    <n v="1.5189873417721518E-2"/>
    <n v="6"/>
    <n v="14.150666666666666"/>
    <n v="338"/>
    <n v="18.777777777777779"/>
    <n v="0"/>
    <n v="1.1266666666666667"/>
    <n v="1"/>
    <n v="0"/>
    <n v="16.777333333333331"/>
    <n v="0.89346745562130159"/>
    <n v="2.0013671005917155"/>
    <n v="1.24"/>
    <n v="1.1078996449704139"/>
    <n v="0.5535714285714286"/>
    <n v="20.803893333333328"/>
  </r>
  <r>
    <x v="0"/>
    <x v="17"/>
    <s v="Creme de leite"/>
    <n v="3"/>
    <n v="200"/>
    <n v="100"/>
    <n v="1.4999999999999999E-2"/>
    <n v="1.5"/>
    <m/>
    <m/>
    <m/>
    <m/>
    <m/>
    <m/>
    <m/>
    <m/>
    <m/>
    <m/>
    <m/>
    <m/>
    <m/>
    <m/>
  </r>
  <r>
    <x v="0"/>
    <x v="17"/>
    <s v="Queijo parmesão"/>
    <n v="7.39"/>
    <n v="50"/>
    <n v="30"/>
    <n v="0.14779999999999999"/>
    <n v="4.4339999999999993"/>
    <m/>
    <m/>
    <m/>
    <m/>
    <m/>
    <m/>
    <m/>
    <m/>
    <m/>
    <m/>
    <m/>
    <m/>
    <m/>
    <m/>
  </r>
  <r>
    <x v="0"/>
    <x v="17"/>
    <s v="Goiabada"/>
    <n v="5"/>
    <n v="300"/>
    <n v="133"/>
    <n v="1.6666666666666666E-2"/>
    <n v="2.2166666666666668"/>
    <m/>
    <m/>
    <m/>
    <m/>
    <m/>
    <m/>
    <m/>
    <m/>
    <m/>
    <m/>
    <m/>
    <m/>
    <m/>
    <m/>
  </r>
  <r>
    <x v="0"/>
    <x v="18"/>
    <s v="Leite condensado"/>
    <n v="6"/>
    <n v="395"/>
    <n v="395"/>
    <n v="1.5189873417721518E-2"/>
    <n v="6"/>
    <n v="17.579999999999998"/>
    <n v="338"/>
    <n v="18.777777777777779"/>
    <n v="0"/>
    <n v="1.1266666666666667"/>
    <n v="1"/>
    <n v="0"/>
    <n v="20.206666666666663"/>
    <n v="1.0760946745562128"/>
    <n v="2.001536094674556"/>
    <n v="0.86"/>
    <n v="0.92544142011834296"/>
    <n v="0.46236559139784938"/>
    <n v="17.377733333333328"/>
  </r>
  <r>
    <x v="0"/>
    <x v="18"/>
    <s v="Creme de leite"/>
    <n v="3"/>
    <n v="200"/>
    <n v="100"/>
    <n v="1.4999999999999999E-2"/>
    <n v="1.5"/>
    <m/>
    <m/>
    <m/>
    <m/>
    <m/>
    <m/>
    <m/>
    <m/>
    <m/>
    <m/>
    <m/>
    <m/>
    <m/>
    <m/>
  </r>
  <r>
    <x v="0"/>
    <x v="18"/>
    <s v="Coco queimado"/>
    <n v="8"/>
    <n v="100"/>
    <n v="126"/>
    <n v="0.08"/>
    <n v="10.08"/>
    <m/>
    <m/>
    <m/>
    <m/>
    <m/>
    <m/>
    <m/>
    <m/>
    <m/>
    <m/>
    <m/>
    <m/>
    <m/>
    <m/>
  </r>
  <r>
    <x v="0"/>
    <x v="19"/>
    <s v="Leite condensado"/>
    <n v="6"/>
    <n v="395"/>
    <n v="395"/>
    <n v="1.5189873417721518E-2"/>
    <n v="6"/>
    <n v="13.385714285714286"/>
    <n v="338"/>
    <n v="18.777777777777779"/>
    <n v="0"/>
    <n v="1.1266666666666667"/>
    <n v="1"/>
    <n v="0"/>
    <n v="16.012380952380951"/>
    <n v="0.85273034657650038"/>
    <n v="2.0039163144547762"/>
    <n v="1.35"/>
    <n v="1.1511859678782757"/>
    <n v="0.57446808510638292"/>
    <n v="21.616714285714288"/>
  </r>
  <r>
    <x v="0"/>
    <x v="19"/>
    <s v="Creme de leite"/>
    <n v="3"/>
    <n v="200"/>
    <n v="100"/>
    <n v="1.4999999999999999E-2"/>
    <n v="1.5"/>
    <m/>
    <m/>
    <m/>
    <m/>
    <m/>
    <m/>
    <m/>
    <m/>
    <m/>
    <m/>
    <m/>
    <m/>
    <m/>
    <m/>
  </r>
  <r>
    <x v="0"/>
    <x v="19"/>
    <s v="Nescau"/>
    <n v="8"/>
    <n v="400"/>
    <n v="50"/>
    <n v="0.02"/>
    <n v="1"/>
    <m/>
    <m/>
    <m/>
    <m/>
    <m/>
    <m/>
    <m/>
    <m/>
    <m/>
    <m/>
    <m/>
    <m/>
    <m/>
    <m/>
  </r>
  <r>
    <x v="0"/>
    <x v="19"/>
    <s v="NUTELLA"/>
    <n v="45"/>
    <n v="700"/>
    <n v="76"/>
    <n v="6.4285714285714279E-2"/>
    <n v="4.8857142857142852"/>
    <m/>
    <m/>
    <m/>
    <m/>
    <m/>
    <m/>
    <m/>
    <m/>
    <m/>
    <m/>
    <m/>
    <m/>
    <m/>
    <m/>
  </r>
  <r>
    <x v="0"/>
    <x v="20"/>
    <s v="Leite condensado"/>
    <n v="6"/>
    <n v="395"/>
    <n v="395"/>
    <n v="1.5189873417721518E-2"/>
    <n v="6"/>
    <n v="18.34223602484472"/>
    <n v="338"/>
    <n v="18.777777777777779"/>
    <n v="0"/>
    <n v="1.1266666666666667"/>
    <n v="1"/>
    <n v="0"/>
    <n v="20.968902691511385"/>
    <n v="1.1166871255834465"/>
    <n v="1.9988699547943694"/>
    <n v="0.79"/>
    <n v="0.88218282921092284"/>
    <n v="0.44134078212290506"/>
    <n v="16.565433126293996"/>
  </r>
  <r>
    <x v="0"/>
    <x v="20"/>
    <s v="Creme de leite"/>
    <n v="3"/>
    <n v="200"/>
    <n v="100"/>
    <n v="1.4999999999999999E-2"/>
    <n v="1.5"/>
    <m/>
    <m/>
    <m/>
    <m/>
    <m/>
    <m/>
    <m/>
    <m/>
    <m/>
    <m/>
    <m/>
    <m/>
    <m/>
    <m/>
  </r>
  <r>
    <x v="0"/>
    <x v="20"/>
    <s v="Nescau"/>
    <n v="8"/>
    <n v="400"/>
    <n v="50"/>
    <n v="0.02"/>
    <n v="1"/>
    <m/>
    <m/>
    <m/>
    <m/>
    <m/>
    <m/>
    <m/>
    <m/>
    <m/>
    <m/>
    <m/>
    <m/>
    <m/>
    <m/>
  </r>
  <r>
    <x v="0"/>
    <x v="20"/>
    <s v="NUTELLA"/>
    <n v="45"/>
    <n v="700"/>
    <n v="76"/>
    <n v="6.4285714285714279E-2"/>
    <n v="4.8857142857142852"/>
    <m/>
    <m/>
    <m/>
    <m/>
    <m/>
    <m/>
    <m/>
    <m/>
    <m/>
    <m/>
    <m/>
    <m/>
    <m/>
    <m/>
  </r>
  <r>
    <x v="0"/>
    <x v="20"/>
    <s v="Cereja"/>
    <n v="15"/>
    <n v="230"/>
    <n v="76"/>
    <n v="6.5217391304347824E-2"/>
    <n v="4.9565217391304346"/>
    <m/>
    <m/>
    <m/>
    <m/>
    <m/>
    <m/>
    <m/>
    <m/>
    <m/>
    <m/>
    <m/>
    <m/>
    <m/>
    <m/>
  </r>
  <r>
    <x v="0"/>
    <x v="21"/>
    <s v="Leite condensado"/>
    <n v="6"/>
    <n v="395"/>
    <n v="395"/>
    <n v="1.5189873417721518E-2"/>
    <n v="6"/>
    <n v="8.0696999999999992"/>
    <n v="338"/>
    <n v="18.777777777777779"/>
    <n v="1"/>
    <n v="1.1266666666666667"/>
    <n v="1"/>
    <n v="0"/>
    <n v="11.696366666666666"/>
    <n v="0.62288343195266271"/>
    <n v="1.9994558165680472"/>
    <n v="2.21"/>
    <n v="1.3765723846153846"/>
    <n v="0.68847352024922126"/>
    <n v="25.848970333333334"/>
  </r>
  <r>
    <x v="0"/>
    <x v="21"/>
    <s v="Creme de leite"/>
    <n v="3"/>
    <n v="200"/>
    <n v="100"/>
    <n v="1.4999999999999999E-2"/>
    <n v="1.5"/>
    <m/>
    <m/>
    <m/>
    <m/>
    <m/>
    <m/>
    <m/>
    <m/>
    <m/>
    <m/>
    <m/>
    <m/>
    <m/>
    <m/>
  </r>
  <r>
    <x v="0"/>
    <x v="21"/>
    <s v="Açucar"/>
    <n v="18.989999999999998"/>
    <n v="5000"/>
    <n v="150"/>
    <n v="3.7979999999999997E-3"/>
    <n v="0.56969999999999998"/>
    <m/>
    <m/>
    <m/>
    <m/>
    <m/>
    <m/>
    <m/>
    <m/>
    <m/>
    <m/>
    <m/>
    <m/>
    <m/>
    <m/>
  </r>
  <r>
    <x v="2"/>
    <x v="22"/>
    <s v="SORTIDOS"/>
    <n v="0"/>
    <n v="0"/>
    <n v="0"/>
    <n v="0"/>
    <n v="0"/>
    <n v="0"/>
    <n v="0"/>
    <n v="8"/>
    <n v="0"/>
    <n v="0.4"/>
    <n v="0"/>
    <n v="0"/>
    <n v="7.2464747127578857"/>
    <n v="0.85580933909473567"/>
    <n v="13.99709877953716"/>
    <n v="0.98599999999999999"/>
    <n v="0.84382800834740934"/>
    <n v="0.48228737777061653"/>
    <n v="6.7506240667792738"/>
  </r>
  <r>
    <x v="2"/>
    <x v="23"/>
    <s v="SORTIDOS"/>
    <n v="0"/>
    <n v="0"/>
    <n v="0"/>
    <n v="0"/>
    <n v="0"/>
    <n v="0"/>
    <n v="0"/>
    <n v="12"/>
    <n v="0"/>
    <n v="1.6"/>
    <n v="0"/>
    <n v="0"/>
    <n v="11.749016247461233"/>
    <n v="0.84575135395510281"/>
    <n v="20.000166456647218"/>
    <n v="0.81299999999999994"/>
    <n v="0.68759585076549856"/>
    <n v="0.41255407684087791"/>
    <n v="8.251150209185985"/>
  </r>
  <r>
    <x v="2"/>
    <x v="24"/>
    <s v="SORTIDOS"/>
    <n v="0"/>
    <n v="0"/>
    <n v="0"/>
    <n v="0"/>
    <n v="0"/>
    <n v="0"/>
    <n v="0"/>
    <n v="30"/>
    <n v="0"/>
    <n v="1.8"/>
    <n v="0"/>
    <n v="0"/>
    <n v="27.185659729704778"/>
    <n v="0.84618865765682594"/>
    <n v="49.997213562817485"/>
    <n v="0.89859999999999995"/>
    <n v="0.76038512777042377"/>
    <n v="0.45625650326396333"/>
    <n v="22.811553833112708"/>
  </r>
  <r>
    <x v="2"/>
    <x v="25"/>
    <s v="SORTIDOS"/>
    <n v="0"/>
    <n v="0"/>
    <n v="0"/>
    <n v="0"/>
    <n v="0"/>
    <n v="0"/>
    <n v="0"/>
    <n v="100"/>
    <n v="0"/>
    <n v="4"/>
    <n v="0"/>
    <n v="0"/>
    <n v="88.6188657656826"/>
    <n v="0.84618865765682594"/>
    <n v="169.99682897253953"/>
    <n v="0.9617"/>
    <n v="0.81377963206856951"/>
    <n v="0.47870283050986989"/>
    <n v="81.377963206856933"/>
  </r>
  <r>
    <x v="3"/>
    <x v="26"/>
    <m/>
    <m/>
    <m/>
    <m/>
    <m/>
    <m/>
    <m/>
    <m/>
    <m/>
    <m/>
    <m/>
    <m/>
    <m/>
    <m/>
    <m/>
    <m/>
    <m/>
    <m/>
    <m/>
    <m/>
  </r>
  <r>
    <x v="3"/>
    <x v="26"/>
    <m/>
    <m/>
    <m/>
    <m/>
    <m/>
    <m/>
    <m/>
    <m/>
    <m/>
    <m/>
    <m/>
    <m/>
    <m/>
    <m/>
    <m/>
    <m/>
    <m/>
    <m/>
    <m/>
    <m/>
  </r>
  <r>
    <x v="3"/>
    <x v="26"/>
    <m/>
    <m/>
    <m/>
    <m/>
    <m/>
    <m/>
    <m/>
    <m/>
    <m/>
    <m/>
    <m/>
    <m/>
    <m/>
    <m/>
    <m/>
    <m/>
    <m/>
    <m/>
    <m/>
    <m/>
  </r>
  <r>
    <x v="3"/>
    <x v="26"/>
    <m/>
    <m/>
    <m/>
    <m/>
    <m/>
    <m/>
    <m/>
    <m/>
    <m/>
    <m/>
    <m/>
    <m/>
    <m/>
    <m/>
    <m/>
    <m/>
    <m/>
    <m/>
    <m/>
    <m/>
  </r>
  <r>
    <x v="3"/>
    <x v="26"/>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x v="0"/>
    <x v="0"/>
    <x v="0"/>
    <x v="0"/>
    <n v="0.84575135395510281"/>
    <n v="1.6915027079102056"/>
    <n v="20.000166456647218"/>
    <n v="2"/>
    <n v="40"/>
    <n v="40"/>
    <x v="0"/>
  </r>
  <r>
    <x v="0"/>
    <x v="0"/>
    <x v="1"/>
    <x v="0"/>
    <n v="0.84575135395510281"/>
    <n v="0.84575135395510281"/>
    <n v="20.000166456647218"/>
    <n v="1"/>
    <n v="20"/>
    <n v="20"/>
    <x v="0"/>
  </r>
  <r>
    <x v="0"/>
    <x v="0"/>
    <x v="2"/>
    <x v="0"/>
    <n v="0.84575135395510281"/>
    <n v="0.84575135395510281"/>
    <n v="20.000166456647218"/>
    <n v="1"/>
    <n v="20"/>
    <n v="20"/>
    <x v="0"/>
  </r>
  <r>
    <x v="0"/>
    <x v="0"/>
    <x v="3"/>
    <x v="0"/>
    <n v="0.84575135395510281"/>
    <n v="0.84575135395510281"/>
    <n v="20.000166456647218"/>
    <n v="1"/>
    <n v="20"/>
    <n v="20"/>
    <x v="0"/>
  </r>
  <r>
    <x v="0"/>
    <x v="0"/>
    <x v="4"/>
    <x v="1"/>
    <n v="0.85580933909473567"/>
    <n v="0.85580933909473567"/>
    <n v="8"/>
    <n v="1"/>
    <n v="8"/>
    <n v="8"/>
    <x v="0"/>
  </r>
  <r>
    <x v="1"/>
    <x v="0"/>
    <x v="5"/>
    <x v="2"/>
    <n v="114.56"/>
    <n v="0"/>
    <n v="0"/>
    <n v="0"/>
    <n v="0"/>
    <n v="0"/>
    <x v="0"/>
  </r>
  <r>
    <x v="2"/>
    <x v="0"/>
    <x v="5"/>
    <x v="2"/>
    <n v="138.66999999999999"/>
    <n v="0"/>
    <n v="0"/>
    <n v="0"/>
    <n v="0"/>
    <n v="0"/>
    <x v="0"/>
  </r>
  <r>
    <x v="3"/>
    <x v="0"/>
    <x v="6"/>
    <x v="0"/>
    <n v="0.84575135395510281"/>
    <n v="1.6915027079102056"/>
    <n v="20.000166456647218"/>
    <n v="2"/>
    <n v="40"/>
    <n v="40"/>
    <x v="0"/>
  </r>
  <r>
    <x v="3"/>
    <x v="0"/>
    <x v="7"/>
    <x v="0"/>
    <n v="0.84575135395510281"/>
    <n v="0.84575135395510281"/>
    <n v="20"/>
    <n v="1"/>
    <n v="20"/>
    <n v="20"/>
    <x v="0"/>
  </r>
  <r>
    <x v="3"/>
    <x v="0"/>
    <x v="8"/>
    <x v="3"/>
    <n v="0.84618865765682594"/>
    <n v="0.84618865765682594"/>
    <n v="49.997213562817485"/>
    <n v="1"/>
    <n v="50"/>
    <n v="50"/>
    <x v="0"/>
  </r>
  <r>
    <x v="3"/>
    <x v="0"/>
    <x v="1"/>
    <x v="0"/>
    <n v="0.84575135395510281"/>
    <n v="1.6915027079102056"/>
    <n v="20.000166456647218"/>
    <n v="2"/>
    <n v="40"/>
    <n v="40"/>
    <x v="0"/>
  </r>
  <r>
    <x v="4"/>
    <x v="1"/>
    <x v="5"/>
    <x v="2"/>
    <n v="28.99"/>
    <n v="0"/>
    <n v="0"/>
    <n v="0"/>
    <n v="0"/>
    <n v="0"/>
    <x v="0"/>
  </r>
  <r>
    <x v="5"/>
    <x v="1"/>
    <x v="9"/>
    <x v="0"/>
    <n v="0.84575135395510281"/>
    <n v="3.3830054158204113"/>
    <n v="20.000166456647218"/>
    <n v="4"/>
    <n v="80"/>
    <n v="80"/>
    <x v="0"/>
  </r>
  <r>
    <x v="5"/>
    <x v="1"/>
    <x v="3"/>
    <x v="0"/>
    <n v="0.84575135395510281"/>
    <n v="0.84575135395510281"/>
    <n v="20.000166456647218"/>
    <n v="1"/>
    <n v="20"/>
    <n v="20"/>
    <x v="0"/>
  </r>
  <r>
    <x v="5"/>
    <x v="1"/>
    <x v="10"/>
    <x v="0"/>
    <n v="0.84575135395510281"/>
    <n v="0.84575135395510281"/>
    <n v="20.000166456647218"/>
    <n v="1"/>
    <n v="20"/>
    <n v="20"/>
    <x v="0"/>
  </r>
  <r>
    <x v="5"/>
    <x v="1"/>
    <x v="11"/>
    <x v="0"/>
    <n v="0.84575135395510281"/>
    <n v="0.84575135395510281"/>
    <n v="20.000166456647218"/>
    <n v="1"/>
    <n v="20"/>
    <n v="20"/>
    <x v="0"/>
  </r>
  <r>
    <x v="5"/>
    <x v="1"/>
    <x v="12"/>
    <x v="0"/>
    <n v="0.84575135395510281"/>
    <n v="0.84575135395510281"/>
    <n v="20.000166456647218"/>
    <n v="1"/>
    <n v="20.000166456647218"/>
    <n v="20.000166456647218"/>
    <x v="0"/>
  </r>
  <r>
    <x v="6"/>
    <x v="1"/>
    <x v="5"/>
    <x v="2"/>
    <n v="31.53"/>
    <n v="0"/>
    <n v="0"/>
    <n v="0"/>
    <n v="0"/>
    <n v="0"/>
    <x v="0"/>
  </r>
  <r>
    <x v="7"/>
    <x v="1"/>
    <x v="5"/>
    <x v="2"/>
    <n v="25.740000000000002"/>
    <n v="0"/>
    <n v="0"/>
    <n v="0"/>
    <n v="0"/>
    <n v="0"/>
    <x v="0"/>
  </r>
  <r>
    <x v="8"/>
    <x v="1"/>
    <x v="5"/>
    <x v="2"/>
    <n v="76.63"/>
    <n v="0"/>
    <n v="0"/>
    <n v="0"/>
    <n v="0"/>
    <n v="0"/>
    <x v="0"/>
  </r>
  <r>
    <x v="8"/>
    <x v="1"/>
    <x v="5"/>
    <x v="2"/>
    <n v="8.6999999999999993"/>
    <n v="0"/>
    <n v="0"/>
    <n v="0"/>
    <n v="0"/>
    <n v="0"/>
    <x v="0"/>
  </r>
  <r>
    <x v="8"/>
    <x v="1"/>
    <x v="5"/>
    <x v="2"/>
    <n v="255.72"/>
    <n v="0"/>
    <n v="0"/>
    <n v="0"/>
    <n v="0"/>
    <n v="0"/>
    <x v="0"/>
  </r>
  <r>
    <x v="9"/>
    <x v="1"/>
    <x v="5"/>
    <x v="2"/>
    <n v="44.4"/>
    <n v="0"/>
    <n v="0"/>
    <n v="0"/>
    <n v="0"/>
    <n v="0"/>
    <x v="0"/>
  </r>
  <r>
    <x v="10"/>
    <x v="1"/>
    <x v="13"/>
    <x v="0"/>
    <n v="0.84575135395510281"/>
    <n v="1.6915027079102056"/>
    <n v="20.000166456647218"/>
    <n v="2"/>
    <n v="40.000332913294436"/>
    <n v="40.000332913294436"/>
    <x v="0"/>
  </r>
  <r>
    <x v="10"/>
    <x v="1"/>
    <x v="14"/>
    <x v="0"/>
    <n v="0.84575135395510281"/>
    <n v="1.6915027079102056"/>
    <n v="20.000166456647218"/>
    <n v="2"/>
    <n v="40.000332913294436"/>
    <n v="40.000332913294436"/>
    <x v="0"/>
  </r>
  <r>
    <x v="10"/>
    <x v="1"/>
    <x v="7"/>
    <x v="0"/>
    <n v="0.84575135395510281"/>
    <n v="0.84575135395510281"/>
    <n v="20.000166456647218"/>
    <n v="1"/>
    <n v="20.000166456647218"/>
    <n v="20.000166456647218"/>
    <x v="0"/>
  </r>
  <r>
    <x v="10"/>
    <x v="1"/>
    <x v="15"/>
    <x v="0"/>
    <n v="0.84575135395510281"/>
    <n v="0.84575135395510281"/>
    <n v="20.000166456647218"/>
    <n v="1"/>
    <n v="20.000166456647218"/>
    <n v="20.000166456647218"/>
    <x v="0"/>
  </r>
  <r>
    <x v="10"/>
    <x v="1"/>
    <x v="3"/>
    <x v="0"/>
    <n v="0.84575135395510281"/>
    <n v="2.5372540618653083"/>
    <n v="20.000166456647218"/>
    <n v="3"/>
    <n v="60.00049936994165"/>
    <n v="60.00049936994165"/>
    <x v="0"/>
  </r>
  <r>
    <x v="10"/>
    <x v="1"/>
    <x v="6"/>
    <x v="0"/>
    <n v="0.84575135395510281"/>
    <n v="0.84575135395510281"/>
    <n v="20.000166456647218"/>
    <n v="1"/>
    <n v="20.000166456647218"/>
    <n v="20.000166456647218"/>
    <x v="0"/>
  </r>
  <r>
    <x v="10"/>
    <x v="1"/>
    <x v="16"/>
    <x v="0"/>
    <n v="0.84575135395510281"/>
    <n v="0.84575135395510281"/>
    <n v="20.000166456647218"/>
    <n v="1"/>
    <n v="20"/>
    <n v="20"/>
    <x v="0"/>
  </r>
  <r>
    <x v="10"/>
    <x v="1"/>
    <x v="17"/>
    <x v="0"/>
    <n v="0.84575135395510281"/>
    <n v="1.6915027079102056"/>
    <n v="20.000166456647218"/>
    <n v="2"/>
    <n v="40"/>
    <n v="40"/>
    <x v="0"/>
  </r>
  <r>
    <x v="11"/>
    <x v="1"/>
    <x v="5"/>
    <x v="2"/>
    <n v="140.79"/>
    <n v="0"/>
    <n v="0"/>
    <n v="0"/>
    <n v="0"/>
    <n v="0"/>
    <x v="0"/>
  </r>
  <r>
    <x v="11"/>
    <x v="1"/>
    <x v="5"/>
    <x v="2"/>
    <n v="23.89"/>
    <n v="0"/>
    <n v="0"/>
    <n v="0"/>
    <n v="0"/>
    <n v="0"/>
    <x v="0"/>
  </r>
  <r>
    <x v="12"/>
    <x v="1"/>
    <x v="9"/>
    <x v="4"/>
    <n v="0.84618865765682594"/>
    <n v="1.2692829864852389"/>
    <n v="169.99682897253953"/>
    <n v="1.5"/>
    <n v="255"/>
    <n v="255"/>
    <x v="0"/>
  </r>
  <r>
    <x v="12"/>
    <x v="1"/>
    <x v="9"/>
    <x v="4"/>
    <n v="0.84618865765682594"/>
    <n v="0.84618865765682594"/>
    <n v="200"/>
    <n v="1"/>
    <n v="200"/>
    <n v="200"/>
    <x v="0"/>
  </r>
  <r>
    <x v="13"/>
    <x v="2"/>
    <x v="5"/>
    <x v="2"/>
    <n v="138"/>
    <n v="0"/>
    <n v="0"/>
    <n v="0"/>
    <n v="0"/>
    <n v="0"/>
    <x v="0"/>
  </r>
  <r>
    <x v="13"/>
    <x v="2"/>
    <x v="14"/>
    <x v="0"/>
    <n v="0.84575135395510281"/>
    <n v="4.2287567697755142"/>
    <n v="20.000166456647218"/>
    <n v="5"/>
    <n v="100"/>
    <n v="100"/>
    <x v="0"/>
  </r>
  <r>
    <x v="13"/>
    <x v="2"/>
    <x v="18"/>
    <x v="0"/>
    <n v="0.84575135395510281"/>
    <n v="1.6915027079102056"/>
    <n v="20.000166456647218"/>
    <n v="2"/>
    <n v="40"/>
    <n v="40"/>
    <x v="0"/>
  </r>
  <r>
    <x v="13"/>
    <x v="2"/>
    <x v="19"/>
    <x v="0"/>
    <n v="0.84575135395510281"/>
    <n v="0.84575135395510281"/>
    <n v="20.000166456647218"/>
    <n v="1"/>
    <n v="20"/>
    <n v="20"/>
    <x v="0"/>
  </r>
  <r>
    <x v="13"/>
    <x v="2"/>
    <x v="20"/>
    <x v="0"/>
    <n v="0.84575135395510281"/>
    <n v="1.6915027079102056"/>
    <n v="20.000166456647218"/>
    <n v="2"/>
    <n v="40"/>
    <n v="40"/>
    <x v="0"/>
  </r>
  <r>
    <x v="13"/>
    <x v="2"/>
    <x v="21"/>
    <x v="0"/>
    <n v="0.84575135395510281"/>
    <n v="0.84575135395510281"/>
    <n v="20.000166456647218"/>
    <n v="1"/>
    <n v="20"/>
    <n v="20"/>
    <x v="0"/>
  </r>
  <r>
    <x v="14"/>
    <x v="2"/>
    <x v="5"/>
    <x v="2"/>
    <n v="56.99"/>
    <n v="0"/>
    <n v="0"/>
    <n v="0"/>
    <n v="0"/>
    <n v="0"/>
    <x v="0"/>
  </r>
  <r>
    <x v="14"/>
    <x v="2"/>
    <x v="5"/>
    <x v="2"/>
    <n v="123.25"/>
    <n v="0"/>
    <n v="0"/>
    <n v="0"/>
    <n v="0"/>
    <n v="0"/>
    <x v="0"/>
  </r>
  <r>
    <x v="15"/>
    <x v="2"/>
    <x v="5"/>
    <x v="2"/>
    <n v="17.27"/>
    <n v="0"/>
    <n v="0"/>
    <n v="0"/>
    <n v="0"/>
    <n v="0"/>
    <x v="0"/>
  </r>
  <r>
    <x v="15"/>
    <x v="2"/>
    <x v="22"/>
    <x v="0"/>
    <n v="0.84575135395510281"/>
    <n v="0.84575135395510281"/>
    <n v="20.000166456647218"/>
    <n v="1"/>
    <n v="20"/>
    <n v="20"/>
    <x v="0"/>
  </r>
  <r>
    <x v="15"/>
    <x v="2"/>
    <x v="22"/>
    <x v="5"/>
    <n v="5"/>
    <n v="0"/>
    <n v="0"/>
    <n v="0"/>
    <n v="5"/>
    <n v="5"/>
    <x v="0"/>
  </r>
  <r>
    <x v="15"/>
    <x v="2"/>
    <x v="23"/>
    <x v="0"/>
    <n v="0.84575135395510281"/>
    <n v="0.84575135395510281"/>
    <n v="20.000166456647218"/>
    <n v="1"/>
    <n v="20"/>
    <n v="20"/>
    <x v="0"/>
  </r>
  <r>
    <x v="15"/>
    <x v="2"/>
    <x v="13"/>
    <x v="0"/>
    <n v="0.84575135395510281"/>
    <n v="0.84575135395510281"/>
    <n v="20.000166456647218"/>
    <n v="1"/>
    <n v="20"/>
    <n v="20"/>
    <x v="0"/>
  </r>
  <r>
    <x v="15"/>
    <x v="2"/>
    <x v="24"/>
    <x v="0"/>
    <n v="0.84575135395510281"/>
    <n v="0.84575135395510281"/>
    <n v="20.000166456647218"/>
    <n v="1"/>
    <n v="20"/>
    <n v="20"/>
    <x v="0"/>
  </r>
  <r>
    <x v="15"/>
    <x v="2"/>
    <x v="24"/>
    <x v="5"/>
    <n v="10"/>
    <n v="0"/>
    <n v="0"/>
    <n v="0"/>
    <n v="10"/>
    <n v="10"/>
    <x v="0"/>
  </r>
  <r>
    <x v="15"/>
    <x v="2"/>
    <x v="25"/>
    <x v="0"/>
    <n v="0.84575135395510281"/>
    <n v="0.84575135395510281"/>
    <n v="20.000166456647218"/>
    <n v="1"/>
    <n v="20"/>
    <n v="20"/>
    <x v="0"/>
  </r>
  <r>
    <x v="15"/>
    <x v="2"/>
    <x v="26"/>
    <x v="0"/>
    <n v="0.84575135395510281"/>
    <n v="0.84575135395510281"/>
    <n v="20.000166456647218"/>
    <n v="1"/>
    <n v="20"/>
    <n v="20"/>
    <x v="0"/>
  </r>
  <r>
    <x v="15"/>
    <x v="2"/>
    <x v="27"/>
    <x v="0"/>
    <n v="0.84575135395510281"/>
    <n v="0.84575135395510281"/>
    <n v="20.000166456647218"/>
    <n v="1"/>
    <n v="20"/>
    <n v="20"/>
    <x v="0"/>
  </r>
  <r>
    <x v="15"/>
    <x v="2"/>
    <x v="28"/>
    <x v="0"/>
    <n v="0.84575135395510281"/>
    <n v="1.6915027079102056"/>
    <n v="20.000166456647218"/>
    <n v="2"/>
    <n v="40"/>
    <n v="40"/>
    <x v="0"/>
  </r>
  <r>
    <x v="15"/>
    <x v="2"/>
    <x v="6"/>
    <x v="0"/>
    <n v="0.84575135395510281"/>
    <n v="0.84575135395510281"/>
    <n v="20.000166456647218"/>
    <n v="1"/>
    <n v="20"/>
    <n v="20"/>
    <x v="0"/>
  </r>
  <r>
    <x v="16"/>
    <x v="2"/>
    <x v="29"/>
    <x v="0"/>
    <n v="0.84575135395510281"/>
    <n v="0.84575135395510281"/>
    <n v="20.000166456647218"/>
    <n v="1"/>
    <n v="20"/>
    <n v="20"/>
    <x v="0"/>
  </r>
  <r>
    <x v="16"/>
    <x v="2"/>
    <x v="29"/>
    <x v="5"/>
    <n v="10"/>
    <n v="0"/>
    <n v="0"/>
    <n v="0"/>
    <n v="10"/>
    <n v="10"/>
    <x v="0"/>
  </r>
  <r>
    <x v="17"/>
    <x v="2"/>
    <x v="5"/>
    <x v="2"/>
    <n v="332.18"/>
    <n v="0"/>
    <n v="0"/>
    <n v="0"/>
    <n v="0"/>
    <n v="0"/>
    <x v="0"/>
  </r>
  <r>
    <x v="18"/>
    <x v="2"/>
    <x v="5"/>
    <x v="2"/>
    <n v="22.5"/>
    <n v="0"/>
    <n v="0"/>
    <n v="0"/>
    <n v="0"/>
    <n v="0"/>
    <x v="0"/>
  </r>
  <r>
    <x v="19"/>
    <x v="2"/>
    <x v="7"/>
    <x v="0"/>
    <n v="0.84575135395510281"/>
    <n v="0.84575135395510281"/>
    <n v="20.000166456647218"/>
    <n v="1"/>
    <n v="20"/>
    <n v="20"/>
    <x v="0"/>
  </r>
  <r>
    <x v="19"/>
    <x v="2"/>
    <x v="30"/>
    <x v="0"/>
    <n v="0.84575135395510281"/>
    <n v="3.3830054158204113"/>
    <n v="20.000166456647218"/>
    <n v="4"/>
    <n v="80"/>
    <n v="80"/>
    <x v="0"/>
  </r>
  <r>
    <x v="19"/>
    <x v="2"/>
    <x v="14"/>
    <x v="0"/>
    <n v="0.84575135395510281"/>
    <n v="1.6915027079102056"/>
    <n v="20.000166456647218"/>
    <n v="2"/>
    <n v="40"/>
    <n v="40"/>
    <x v="0"/>
  </r>
  <r>
    <x v="19"/>
    <x v="2"/>
    <x v="31"/>
    <x v="0"/>
    <n v="0.84575135395510281"/>
    <n v="1.6915027079102056"/>
    <n v="20.000166456647218"/>
    <n v="2"/>
    <n v="40"/>
    <n v="40"/>
    <x v="0"/>
  </r>
  <r>
    <x v="20"/>
    <x v="2"/>
    <x v="5"/>
    <x v="2"/>
    <n v="8.9"/>
    <n v="0"/>
    <n v="0"/>
    <n v="0"/>
    <n v="0"/>
    <n v="0"/>
    <x v="0"/>
  </r>
  <r>
    <x v="20"/>
    <x v="2"/>
    <x v="32"/>
    <x v="0"/>
    <n v="0.84575135395510281"/>
    <n v="0.84575135395510281"/>
    <n v="20.000166456647218"/>
    <n v="1"/>
    <n v="20"/>
    <n v="20"/>
    <x v="0"/>
  </r>
  <r>
    <x v="20"/>
    <x v="2"/>
    <x v="33"/>
    <x v="0"/>
    <n v="0.84575135395510281"/>
    <n v="0.84575135395510281"/>
    <n v="20.000166456647218"/>
    <n v="1"/>
    <n v="20"/>
    <n v="20"/>
    <x v="0"/>
  </r>
  <r>
    <x v="20"/>
    <x v="2"/>
    <x v="24"/>
    <x v="0"/>
    <n v="0.84575135395510281"/>
    <n v="1.6915027079102056"/>
    <n v="20.000166456647218"/>
    <n v="2"/>
    <n v="40"/>
    <n v="40"/>
    <x v="0"/>
  </r>
  <r>
    <x v="20"/>
    <x v="2"/>
    <x v="24"/>
    <x v="5"/>
    <n v="10"/>
    <n v="0"/>
    <n v="0"/>
    <n v="0"/>
    <n v="10"/>
    <n v="10"/>
    <x v="0"/>
  </r>
  <r>
    <x v="20"/>
    <x v="2"/>
    <x v="34"/>
    <x v="0"/>
    <n v="0.84575135395510281"/>
    <n v="0.84575135395510281"/>
    <n v="20.000166456647218"/>
    <n v="1"/>
    <n v="20"/>
    <n v="20"/>
    <x v="0"/>
  </r>
  <r>
    <x v="21"/>
    <x v="2"/>
    <x v="5"/>
    <x v="2"/>
    <n v="63.24"/>
    <n v="0"/>
    <n v="0"/>
    <n v="0"/>
    <n v="0"/>
    <n v="0"/>
    <x v="0"/>
  </r>
  <r>
    <x v="22"/>
    <x v="2"/>
    <x v="20"/>
    <x v="0"/>
    <n v="0.84575135395510281"/>
    <n v="0.84575135395510281"/>
    <n v="20.000166456647218"/>
    <n v="1"/>
    <n v="20"/>
    <n v="0"/>
    <x v="1"/>
  </r>
  <r>
    <x v="22"/>
    <x v="2"/>
    <x v="25"/>
    <x v="0"/>
    <n v="0.84575135395510281"/>
    <n v="1.6915027079102056"/>
    <n v="20.000166456647218"/>
    <n v="2"/>
    <n v="40"/>
    <n v="40"/>
    <x v="0"/>
  </r>
  <r>
    <x v="22"/>
    <x v="2"/>
    <x v="35"/>
    <x v="0"/>
    <n v="0.84575135395510281"/>
    <n v="0.84575135395510281"/>
    <n v="20.000166456647218"/>
    <n v="1"/>
    <n v="20"/>
    <n v="20"/>
    <x v="0"/>
  </r>
  <r>
    <x v="23"/>
    <x v="2"/>
    <x v="29"/>
    <x v="0"/>
    <n v="0.84575135395510281"/>
    <n v="0.84575135395510281"/>
    <n v="20.000166456647218"/>
    <n v="1"/>
    <n v="20"/>
    <n v="0"/>
    <x v="1"/>
  </r>
  <r>
    <x v="24"/>
    <x v="2"/>
    <x v="22"/>
    <x v="0"/>
    <n v="0.84575135395510281"/>
    <n v="3.3830054158204113"/>
    <n v="20.000166456647218"/>
    <n v="4"/>
    <n v="80"/>
    <n v="80"/>
    <x v="0"/>
  </r>
  <r>
    <x v="25"/>
    <x v="2"/>
    <x v="5"/>
    <x v="2"/>
    <n v="68.98"/>
    <n v="0"/>
    <n v="0"/>
    <n v="0"/>
    <n v="0"/>
    <n v="0"/>
    <x v="0"/>
  </r>
  <r>
    <x v="25"/>
    <x v="2"/>
    <x v="5"/>
    <x v="2"/>
    <n v="94.5"/>
    <n v="0"/>
    <n v="0"/>
    <n v="0"/>
    <n v="0"/>
    <n v="0"/>
    <x v="0"/>
  </r>
  <r>
    <x v="25"/>
    <x v="2"/>
    <x v="5"/>
    <x v="2"/>
    <n v="18"/>
    <n v="0"/>
    <n v="0"/>
    <n v="0"/>
    <n v="0"/>
    <n v="0"/>
    <x v="0"/>
  </r>
  <r>
    <x v="26"/>
    <x v="2"/>
    <x v="5"/>
    <x v="2"/>
    <n v="134.72999999999999"/>
    <n v="0"/>
    <n v="0"/>
    <n v="0"/>
    <n v="0"/>
    <n v="0"/>
    <x v="0"/>
  </r>
  <r>
    <x v="26"/>
    <x v="2"/>
    <x v="36"/>
    <x v="0"/>
    <n v="0.84575135395510281"/>
    <n v="1.6915027079102056"/>
    <n v="20.000166456647218"/>
    <n v="2"/>
    <n v="40"/>
    <n v="40"/>
    <x v="0"/>
  </r>
  <r>
    <x v="26"/>
    <x v="2"/>
    <x v="36"/>
    <x v="5"/>
    <n v="10"/>
    <n v="0"/>
    <n v="0"/>
    <n v="0"/>
    <n v="10"/>
    <n v="10"/>
    <x v="0"/>
  </r>
  <r>
    <x v="26"/>
    <x v="2"/>
    <x v="27"/>
    <x v="0"/>
    <n v="0.84575135395510281"/>
    <n v="0.84575135395510281"/>
    <n v="20.000166456647218"/>
    <n v="1"/>
    <n v="20"/>
    <n v="20"/>
    <x v="0"/>
  </r>
  <r>
    <x v="26"/>
    <x v="2"/>
    <x v="37"/>
    <x v="0"/>
    <n v="0.84575135395510281"/>
    <n v="1.6915027079102056"/>
    <n v="20.000166456647218"/>
    <n v="2"/>
    <n v="40"/>
    <n v="40"/>
    <x v="0"/>
  </r>
  <r>
    <x v="26"/>
    <x v="2"/>
    <x v="37"/>
    <x v="5"/>
    <n v="10"/>
    <n v="0"/>
    <n v="0"/>
    <n v="0"/>
    <n v="10"/>
    <n v="10"/>
    <x v="0"/>
  </r>
  <r>
    <x v="26"/>
    <x v="2"/>
    <x v="38"/>
    <x v="0"/>
    <n v="0.84575135395510281"/>
    <n v="1.6915027079102056"/>
    <n v="20.000166456647218"/>
    <n v="2"/>
    <n v="40"/>
    <n v="40"/>
    <x v="0"/>
  </r>
  <r>
    <x v="26"/>
    <x v="2"/>
    <x v="16"/>
    <x v="0"/>
    <n v="0.84575135395510281"/>
    <n v="1.6915027079102056"/>
    <n v="20.000166456647218"/>
    <n v="2"/>
    <n v="40"/>
    <n v="40"/>
    <x v="0"/>
  </r>
  <r>
    <x v="26"/>
    <x v="2"/>
    <x v="39"/>
    <x v="0"/>
    <n v="0.84575135395510281"/>
    <n v="0.84575135395510281"/>
    <n v="20.000166456647218"/>
    <n v="1"/>
    <n v="20"/>
    <n v="20"/>
    <x v="0"/>
  </r>
  <r>
    <x v="27"/>
    <x v="3"/>
    <x v="28"/>
    <x v="0"/>
    <n v="0.84575135395510281"/>
    <n v="0.84575135395510281"/>
    <n v="20.000166456647218"/>
    <n v="1"/>
    <n v="20"/>
    <n v="0"/>
    <x v="1"/>
  </r>
  <r>
    <x v="28"/>
    <x v="3"/>
    <x v="40"/>
    <x v="0"/>
    <n v="0.84575135395510281"/>
    <n v="0.84575135395510281"/>
    <n v="20.000166456647218"/>
    <n v="1"/>
    <n v="20"/>
    <n v="20"/>
    <x v="0"/>
  </r>
  <r>
    <x v="28"/>
    <x v="3"/>
    <x v="18"/>
    <x v="0"/>
    <n v="0.84575135395510281"/>
    <n v="0.84575135395510281"/>
    <n v="20.000166456647218"/>
    <n v="1"/>
    <n v="20"/>
    <n v="20"/>
    <x v="0"/>
  </r>
  <r>
    <x v="28"/>
    <x v="3"/>
    <x v="37"/>
    <x v="0"/>
    <n v="0.84575135395510281"/>
    <n v="0.84575135395510281"/>
    <n v="20.000166456647218"/>
    <n v="1"/>
    <n v="20"/>
    <n v="20"/>
    <x v="0"/>
  </r>
  <r>
    <x v="28"/>
    <x v="3"/>
    <x v="3"/>
    <x v="0"/>
    <n v="0.84575135395510281"/>
    <n v="2.5372540618653083"/>
    <n v="20.000166456647218"/>
    <n v="3"/>
    <n v="60"/>
    <n v="60"/>
    <x v="0"/>
  </r>
  <r>
    <x v="28"/>
    <x v="3"/>
    <x v="7"/>
    <x v="0"/>
    <n v="0.84575135395510281"/>
    <n v="0.84575135395510281"/>
    <n v="20.000166456647218"/>
    <n v="1"/>
    <n v="20"/>
    <n v="20"/>
    <x v="0"/>
  </r>
  <r>
    <x v="28"/>
    <x v="3"/>
    <x v="41"/>
    <x v="0"/>
    <n v="0.84575135395510281"/>
    <n v="0.84575135395510281"/>
    <n v="20.000166456647218"/>
    <n v="1"/>
    <n v="20"/>
    <n v="20"/>
    <x v="0"/>
  </r>
  <r>
    <x v="29"/>
    <x v="3"/>
    <x v="5"/>
    <x v="2"/>
    <n v="33.15"/>
    <n v="0"/>
    <n v="0"/>
    <n v="0"/>
    <n v="0"/>
    <n v="0"/>
    <x v="0"/>
  </r>
  <r>
    <x v="29"/>
    <x v="3"/>
    <x v="24"/>
    <x v="0"/>
    <n v="0.84575135395510281"/>
    <n v="0.84575135395510281"/>
    <n v="20.000166456647218"/>
    <n v="1"/>
    <n v="20"/>
    <n v="20"/>
    <x v="0"/>
  </r>
  <r>
    <x v="29"/>
    <x v="3"/>
    <x v="24"/>
    <x v="5"/>
    <n v="10"/>
    <n v="0"/>
    <n v="0"/>
    <n v="0"/>
    <n v="10"/>
    <n v="10"/>
    <x v="0"/>
  </r>
  <r>
    <x v="30"/>
    <x v="3"/>
    <x v="5"/>
    <x v="2"/>
    <n v="53.26"/>
    <n v="0"/>
    <n v="0"/>
    <n v="0"/>
    <n v="0"/>
    <n v="0"/>
    <x v="0"/>
  </r>
  <r>
    <x v="30"/>
    <x v="3"/>
    <x v="5"/>
    <x v="2"/>
    <n v="124.72"/>
    <n v="0"/>
    <n v="0"/>
    <n v="0"/>
    <n v="0"/>
    <n v="0"/>
    <x v="0"/>
  </r>
  <r>
    <x v="30"/>
    <x v="3"/>
    <x v="5"/>
    <x v="2"/>
    <n v="166.41"/>
    <n v="0"/>
    <n v="0"/>
    <n v="0"/>
    <n v="0"/>
    <n v="0"/>
    <x v="0"/>
  </r>
  <r>
    <x v="31"/>
    <x v="3"/>
    <x v="5"/>
    <x v="2"/>
    <n v="70.260000000000005"/>
    <n v="0"/>
    <n v="0"/>
    <n v="0"/>
    <n v="0"/>
    <n v="0"/>
    <x v="0"/>
  </r>
  <r>
    <x v="32"/>
    <x v="3"/>
    <x v="41"/>
    <x v="0"/>
    <n v="0.84575135395510281"/>
    <n v="1.6915027079102056"/>
    <n v="20.000166456647218"/>
    <n v="2"/>
    <n v="40"/>
    <n v="40"/>
    <x v="0"/>
  </r>
  <r>
    <x v="32"/>
    <x v="3"/>
    <x v="41"/>
    <x v="5"/>
    <n v="0"/>
    <n v="0"/>
    <n v="0"/>
    <n v="1"/>
    <n v="10"/>
    <n v="10"/>
    <x v="0"/>
  </r>
  <r>
    <x v="32"/>
    <x v="3"/>
    <x v="42"/>
    <x v="6"/>
    <n v="0"/>
    <n v="0"/>
    <n v="0"/>
    <n v="1"/>
    <n v="50"/>
    <n v="50"/>
    <x v="0"/>
  </r>
  <r>
    <x v="32"/>
    <x v="3"/>
    <x v="3"/>
    <x v="7"/>
    <n v="0"/>
    <n v="0"/>
    <n v="0"/>
    <n v="1"/>
    <n v="241"/>
    <n v="241"/>
    <x v="0"/>
  </r>
  <r>
    <x v="32"/>
    <x v="3"/>
    <x v="3"/>
    <x v="6"/>
    <n v="0"/>
    <n v="0"/>
    <n v="0"/>
    <n v="2"/>
    <n v="100"/>
    <n v="100"/>
    <x v="0"/>
  </r>
  <r>
    <x v="32"/>
    <x v="3"/>
    <x v="3"/>
    <x v="5"/>
    <n v="0"/>
    <n v="0"/>
    <n v="0"/>
    <n v="1"/>
    <n v="10"/>
    <n v="10"/>
    <x v="0"/>
  </r>
  <r>
    <x v="32"/>
    <x v="3"/>
    <x v="7"/>
    <x v="0"/>
    <n v="0.84575135395510281"/>
    <n v="1.6915027079102056"/>
    <n v="20.000166456647218"/>
    <n v="2"/>
    <n v="40"/>
    <n v="40"/>
    <x v="0"/>
  </r>
  <r>
    <x v="32"/>
    <x v="3"/>
    <x v="38"/>
    <x v="0"/>
    <n v="0.84575135395510281"/>
    <n v="1.6915027079102056"/>
    <n v="20.000166456647218"/>
    <n v="2"/>
    <n v="40"/>
    <n v="40"/>
    <x v="0"/>
  </r>
  <r>
    <x v="32"/>
    <x v="3"/>
    <x v="38"/>
    <x v="6"/>
    <n v="0"/>
    <n v="0"/>
    <n v="0"/>
    <n v="2"/>
    <n v="100"/>
    <n v="100"/>
    <x v="0"/>
  </r>
  <r>
    <x v="32"/>
    <x v="3"/>
    <x v="43"/>
    <x v="6"/>
    <n v="0"/>
    <n v="0"/>
    <n v="0"/>
    <n v="1"/>
    <n v="50"/>
    <n v="50"/>
    <x v="0"/>
  </r>
  <r>
    <x v="32"/>
    <x v="3"/>
    <x v="12"/>
    <x v="6"/>
    <n v="0"/>
    <n v="0"/>
    <n v="0"/>
    <n v="1"/>
    <n v="50"/>
    <n v="50"/>
    <x v="0"/>
  </r>
  <r>
    <x v="32"/>
    <x v="3"/>
    <x v="18"/>
    <x v="6"/>
    <n v="0"/>
    <n v="0"/>
    <n v="0"/>
    <n v="2"/>
    <n v="100"/>
    <n v="100"/>
    <x v="0"/>
  </r>
  <r>
    <x v="32"/>
    <x v="3"/>
    <x v="15"/>
    <x v="8"/>
    <n v="0"/>
    <n v="0"/>
    <n v="0"/>
    <n v="1"/>
    <n v="45"/>
    <m/>
    <x v="1"/>
  </r>
  <r>
    <x v="32"/>
    <x v="3"/>
    <x v="44"/>
    <x v="9"/>
    <n v="0"/>
    <n v="0"/>
    <n v="0"/>
    <n v="1"/>
    <n v="16"/>
    <n v="16"/>
    <x v="0"/>
  </r>
  <r>
    <x v="32"/>
    <x v="3"/>
    <x v="35"/>
    <x v="0"/>
    <n v="0.84575135395510281"/>
    <n v="0.84575135395510281"/>
    <n v="20.000166456647218"/>
    <n v="1"/>
    <n v="20"/>
    <n v="20"/>
    <x v="0"/>
  </r>
  <r>
    <x v="33"/>
    <x v="3"/>
    <x v="45"/>
    <x v="4"/>
    <n v="0.84618865765682594"/>
    <n v="0.84618865765682594"/>
    <n v="169.99682897253953"/>
    <n v="1"/>
    <n v="210"/>
    <n v="210"/>
    <x v="0"/>
  </r>
  <r>
    <x v="33"/>
    <x v="3"/>
    <x v="14"/>
    <x v="10"/>
    <n v="0"/>
    <n v="0"/>
    <n v="0"/>
    <n v="1"/>
    <n v="261"/>
    <n v="261"/>
    <x v="0"/>
  </r>
  <r>
    <x v="34"/>
    <x v="4"/>
    <x v="46"/>
    <x v="0"/>
    <n v="0.84575135395510281"/>
    <n v="1.6915027079102056"/>
    <n v="20.000166456647218"/>
    <n v="2"/>
    <n v="40"/>
    <m/>
    <x v="1"/>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r>
    <x v="35"/>
    <x v="5"/>
    <x v="47"/>
    <x v="11"/>
    <m/>
    <m/>
    <m/>
    <m/>
    <m/>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
  <r>
    <d v="2025-02-16T00:00:00"/>
    <x v="0"/>
    <x v="0"/>
    <x v="0"/>
    <n v="7.32000000000005"/>
  </r>
  <r>
    <d v="2025-02-16T00:00:00"/>
    <x v="1"/>
    <x v="0"/>
    <x v="0"/>
    <n v="27.41"/>
  </r>
  <r>
    <d v="2025-02-16T00:00:00"/>
    <x v="2"/>
    <x v="0"/>
    <x v="0"/>
    <n v="80"/>
  </r>
  <r>
    <d v="2025-02-16T00:00:00"/>
    <x v="3"/>
    <x v="0"/>
    <x v="0"/>
    <n v="20"/>
  </r>
  <r>
    <d v="2025-02-18T00:00:00"/>
    <x v="4"/>
    <x v="0"/>
    <x v="1"/>
    <n v="0.06"/>
  </r>
  <r>
    <d v="2025-02-19T00:00:00"/>
    <x v="4"/>
    <x v="0"/>
    <x v="1"/>
    <n v="0.05"/>
  </r>
  <r>
    <d v="2025-02-20T00:00:00"/>
    <x v="4"/>
    <x v="0"/>
    <x v="1"/>
    <n v="0.06"/>
  </r>
  <r>
    <d v="2025-02-21T00:00:00"/>
    <x v="4"/>
    <x v="0"/>
    <x v="1"/>
    <n v="0.05"/>
  </r>
  <r>
    <d v="2025-02-22T00:00:00"/>
    <x v="5"/>
    <x v="0"/>
    <x v="2"/>
    <n v="76.63"/>
  </r>
  <r>
    <d v="2025-02-22T00:00:00"/>
    <x v="6"/>
    <x v="0"/>
    <x v="2"/>
    <n v="44.4"/>
  </r>
  <r>
    <d v="2025-02-23T00:00:00"/>
    <x v="7"/>
    <x v="0"/>
    <x v="0"/>
    <n v="40"/>
  </r>
  <r>
    <d v="2025-02-23T00:00:00"/>
    <x v="8"/>
    <x v="0"/>
    <x v="0"/>
    <n v="40"/>
  </r>
  <r>
    <d v="2025-02-23T00:00:00"/>
    <x v="9"/>
    <x v="0"/>
    <x v="0"/>
    <n v="20"/>
  </r>
  <r>
    <d v="2025-02-24T00:00:00"/>
    <x v="5"/>
    <x v="0"/>
    <x v="2"/>
    <n v="259.72000000000003"/>
  </r>
  <r>
    <d v="2025-02-24T00:00:00"/>
    <x v="4"/>
    <x v="0"/>
    <x v="1"/>
    <n v="0.05"/>
  </r>
  <r>
    <d v="2025-02-25T00:00:00"/>
    <x v="4"/>
    <x v="0"/>
    <x v="1"/>
    <n v="0.09"/>
  </r>
  <r>
    <d v="2025-02-26T00:00:00"/>
    <x v="4"/>
    <x v="0"/>
    <x v="1"/>
    <n v="0.09"/>
  </r>
  <r>
    <d v="2025-02-27T00:00:00"/>
    <x v="4"/>
    <x v="0"/>
    <x v="1"/>
    <n v="0.09"/>
  </r>
  <r>
    <d v="2025-02-27T00:00:00"/>
    <x v="10"/>
    <x v="0"/>
    <x v="0"/>
    <n v="455"/>
  </r>
  <r>
    <d v="2025-02-28T00:00:00"/>
    <x v="11"/>
    <x v="0"/>
    <x v="3"/>
    <n v="121.03"/>
  </r>
  <r>
    <d v="2025-02-28T00:00:00"/>
    <x v="4"/>
    <x v="0"/>
    <x v="1"/>
    <n v="0.27"/>
  </r>
  <r>
    <d v="2025-03-01T00:00:00"/>
    <x v="7"/>
    <x v="0"/>
    <x v="0"/>
    <n v="40"/>
  </r>
  <r>
    <d v="2025-03-01T00:00:00"/>
    <x v="7"/>
    <x v="0"/>
    <x v="0"/>
    <n v="40"/>
  </r>
  <r>
    <d v="2025-03-01T00:00:00"/>
    <x v="6"/>
    <x v="0"/>
    <x v="3"/>
    <n v="138"/>
  </r>
  <r>
    <d v="2025-03-01T00:00:00"/>
    <x v="7"/>
    <x v="0"/>
    <x v="0"/>
    <n v="20"/>
  </r>
  <r>
    <d v="2025-03-01T00:00:00"/>
    <x v="12"/>
    <x v="0"/>
    <x v="0"/>
    <n v="40"/>
  </r>
  <r>
    <d v="2025-03-01T00:00:00"/>
    <x v="13"/>
    <x v="0"/>
    <x v="0"/>
    <n v="20"/>
  </r>
  <r>
    <d v="2025-03-02T00:00:00"/>
    <x v="14"/>
    <x v="1"/>
    <x v="4"/>
    <n v="183.65"/>
  </r>
  <r>
    <d v="2025-03-04T00:00:00"/>
    <x v="2"/>
    <x v="0"/>
    <x v="0"/>
    <n v="60"/>
  </r>
  <r>
    <d v="2025-03-05T00:00:00"/>
    <x v="4"/>
    <x v="0"/>
    <x v="1"/>
    <n v="0.23"/>
  </r>
  <r>
    <d v="2025-03-05T00:00:00"/>
    <x v="15"/>
    <x v="0"/>
    <x v="3"/>
    <n v="200"/>
  </r>
  <r>
    <d v="2025-03-06T00:00:00"/>
    <x v="4"/>
    <x v="0"/>
    <x v="1"/>
    <n v="0.26"/>
  </r>
  <r>
    <d v="2025-03-07T00:00:00"/>
    <x v="4"/>
    <x v="0"/>
    <x v="1"/>
    <n v="0.19"/>
  </r>
  <r>
    <d v="2025-03-07T00:00:00"/>
    <x v="5"/>
    <x v="0"/>
    <x v="3"/>
    <n v="56.99"/>
  </r>
  <r>
    <d v="2025-03-07T00:00:00"/>
    <x v="16"/>
    <x v="0"/>
    <x v="3"/>
    <n v="123.25"/>
  </r>
  <r>
    <d v="2025-03-08T00:00:00"/>
    <x v="17"/>
    <x v="0"/>
    <x v="0"/>
    <n v="20"/>
  </r>
  <r>
    <d v="2025-03-08T00:00:00"/>
    <x v="2"/>
    <x v="0"/>
    <x v="0"/>
    <n v="20"/>
  </r>
  <r>
    <d v="2025-03-08T00:00:00"/>
    <x v="18"/>
    <x v="0"/>
    <x v="0"/>
    <n v="30"/>
  </r>
  <r>
    <d v="2025-03-08T00:00:00"/>
    <x v="19"/>
    <x v="0"/>
    <x v="0"/>
    <n v="25"/>
  </r>
  <r>
    <d v="2025-03-08T00:00:00"/>
    <x v="20"/>
    <x v="0"/>
    <x v="0"/>
    <n v="20"/>
  </r>
  <r>
    <d v="2025-03-08T00:00:00"/>
    <x v="21"/>
    <x v="0"/>
    <x v="0"/>
    <n v="40"/>
  </r>
  <r>
    <d v="2025-03-08T00:00:00"/>
    <x v="14"/>
    <x v="1"/>
    <x v="4"/>
    <n v="61.1"/>
  </r>
  <r>
    <d v="2025-03-09T00:00:00"/>
    <x v="22"/>
    <x v="0"/>
    <x v="0"/>
    <n v="20"/>
  </r>
  <r>
    <d v="2025-03-09T00:00:00"/>
    <x v="23"/>
    <x v="0"/>
    <x v="0"/>
    <n v="30"/>
  </r>
  <r>
    <d v="2025-03-09T00:00:00"/>
    <x v="24"/>
    <x v="0"/>
    <x v="0"/>
    <n v="100"/>
  </r>
  <r>
    <d v="2025-03-09T00:00:00"/>
    <x v="25"/>
    <x v="0"/>
    <x v="3"/>
    <n v="100"/>
  </r>
  <r>
    <d v="2025-03-10T00:00:00"/>
    <x v="4"/>
    <x v="0"/>
    <x v="1"/>
    <n v="0.1"/>
  </r>
  <r>
    <d v="2025-03-11T00:00:00"/>
    <x v="4"/>
    <x v="0"/>
    <x v="1"/>
    <n v="0.19"/>
  </r>
  <r>
    <d v="2025-03-12T00:00:00"/>
    <x v="4"/>
    <x v="0"/>
    <x v="1"/>
    <n v="0.2"/>
  </r>
  <r>
    <d v="2025-03-13T00:00:00"/>
    <x v="4"/>
    <x v="0"/>
    <x v="1"/>
    <n v="0.18"/>
  </r>
  <r>
    <d v="2025-03-14T00:00:00"/>
    <x v="4"/>
    <x v="0"/>
    <x v="1"/>
    <n v="0.2"/>
  </r>
  <r>
    <d v="2025-03-14T00:00:00"/>
    <x v="16"/>
    <x v="0"/>
    <x v="3"/>
    <n v="22.5"/>
  </r>
  <r>
    <d v="2025-03-15T00:00:00"/>
    <x v="26"/>
    <x v="0"/>
    <x v="0"/>
    <n v="20"/>
  </r>
  <r>
    <d v="2025-03-15T00:00:00"/>
    <x v="27"/>
    <x v="0"/>
    <x v="0"/>
    <n v="58.04"/>
  </r>
  <r>
    <d v="2025-03-15T00:00:00"/>
    <x v="7"/>
    <x v="0"/>
    <x v="0"/>
    <n v="40"/>
  </r>
  <r>
    <d v="2025-03-16T00:00:00"/>
    <x v="18"/>
    <x v="0"/>
    <x v="0"/>
    <n v="50"/>
  </r>
  <r>
    <d v="2025-03-16T00:00:00"/>
    <x v="28"/>
    <x v="0"/>
    <x v="0"/>
    <n v="20"/>
  </r>
  <r>
    <d v="2025-03-16T00:00:00"/>
    <x v="29"/>
    <x v="0"/>
    <x v="3"/>
    <n v="60"/>
  </r>
  <r>
    <d v="2025-03-16T00:00:00"/>
    <x v="14"/>
    <x v="1"/>
    <x v="4"/>
    <n v="150"/>
  </r>
  <r>
    <d v="2025-03-16T00:00:00"/>
    <x v="11"/>
    <x v="0"/>
    <x v="3"/>
    <n v="264.52"/>
  </r>
  <r>
    <d v="2025-03-18T00:00:00"/>
    <x v="4"/>
    <x v="0"/>
    <x v="1"/>
    <n v="0.18"/>
  </r>
  <r>
    <d v="2025-03-18T00:00:00"/>
    <x v="30"/>
    <x v="0"/>
    <x v="0"/>
    <n v="20"/>
  </r>
  <r>
    <d v="2025-03-18T00:00:00"/>
    <x v="4"/>
    <x v="0"/>
    <x v="1"/>
    <n v="0.14000000000000001"/>
  </r>
  <r>
    <d v="2025-03-18T00:00:00"/>
    <x v="31"/>
    <x v="0"/>
    <x v="3"/>
    <n v="154.97999999999999"/>
  </r>
  <r>
    <d v="2025-03-18T00:00:00"/>
    <x v="32"/>
    <x v="0"/>
    <x v="3"/>
    <n v="60.97"/>
  </r>
  <r>
    <d v="2025-03-18T00:00:00"/>
    <x v="32"/>
    <x v="0"/>
    <x v="3"/>
    <n v="18"/>
  </r>
  <r>
    <d v="2025-03-18T00:00:00"/>
    <x v="33"/>
    <x v="0"/>
    <x v="2"/>
    <n v="120.43"/>
  </r>
  <r>
    <d v="2025-03-18T00:00:00"/>
    <x v="32"/>
    <x v="0"/>
    <x v="2"/>
    <n v="236.9"/>
  </r>
  <r>
    <d v="2025-03-18T00:00:00"/>
    <x v="34"/>
    <x v="1"/>
    <x v="5"/>
    <n v="150"/>
  </r>
  <r>
    <d v="2025-03-18T00:00:00"/>
    <x v="34"/>
    <x v="1"/>
    <x v="5"/>
    <n v="100"/>
  </r>
  <r>
    <d v="2025-03-19T00:00:00"/>
    <x v="4"/>
    <x v="0"/>
    <x v="1"/>
    <n v="0.04"/>
  </r>
  <r>
    <d v="2025-03-19T00:00:00"/>
    <x v="28"/>
    <x v="0"/>
    <x v="0"/>
    <n v="20"/>
  </r>
  <r>
    <d v="2025-03-19T00:00:00"/>
    <x v="35"/>
    <x v="0"/>
    <x v="3"/>
    <n v="95"/>
  </r>
  <r>
    <d v="2025-03-19T00:00:00"/>
    <x v="36"/>
    <x v="0"/>
    <x v="3"/>
    <n v="14"/>
  </r>
  <r>
    <d v="2025-03-21T00:00:00"/>
    <x v="37"/>
    <x v="0"/>
    <x v="2"/>
    <n v="100"/>
  </r>
  <r>
    <d v="2025-03-21T00:00:00"/>
    <x v="4"/>
    <x v="0"/>
    <x v="1"/>
    <n v="0.01"/>
  </r>
  <r>
    <d v="2025-03-21T00:00:00"/>
    <x v="37"/>
    <x v="0"/>
    <x v="2"/>
    <n v="0"/>
  </r>
  <r>
    <d v="2025-03-22T00:00:00"/>
    <x v="34"/>
    <x v="1"/>
    <x v="5"/>
    <n v="20"/>
  </r>
  <r>
    <d v="2025-03-22T00:00:00"/>
    <x v="38"/>
    <x v="0"/>
    <x v="2"/>
    <n v="466.7"/>
  </r>
  <r>
    <d v="2025-03-22T00:00:00"/>
    <x v="14"/>
    <x v="1"/>
    <x v="4"/>
    <n v="40"/>
  </r>
  <r>
    <d v="2025-03-22T00:00:00"/>
    <x v="39"/>
    <x v="0"/>
    <x v="2"/>
    <n v="0"/>
  </r>
  <r>
    <d v="2025-03-23T00:00:00"/>
    <x v="40"/>
    <x v="0"/>
    <x v="0"/>
    <n v="20"/>
  </r>
  <r>
    <d v="2025-03-23T00:00:00"/>
    <x v="4"/>
    <x v="0"/>
    <x v="1"/>
    <n v="0.01"/>
  </r>
  <r>
    <d v="2025-03-24T00:00:00"/>
    <x v="4"/>
    <x v="0"/>
    <x v="1"/>
    <n v="0.01"/>
  </r>
  <r>
    <d v="2025-03-24T00:00:00"/>
    <x v="38"/>
    <x v="0"/>
    <x v="2"/>
    <n v="147.47"/>
  </r>
  <r>
    <d v="2025-03-25T00:00:00"/>
    <x v="4"/>
    <x v="0"/>
    <x v="1"/>
    <n v="0.02"/>
  </r>
  <r>
    <d v="2025-03-26T00:00:00"/>
    <x v="4"/>
    <x v="0"/>
    <x v="1"/>
    <n v="0.02"/>
  </r>
  <r>
    <d v="2025-03-27T00:00:00"/>
    <x v="19"/>
    <x v="0"/>
    <x v="0"/>
    <n v="80"/>
  </r>
  <r>
    <d v="2025-03-28T00:00:00"/>
    <x v="4"/>
    <x v="0"/>
    <x v="1"/>
    <n v="0.01"/>
  </r>
  <r>
    <d v="2025-03-29T00:00:00"/>
    <x v="20"/>
    <x v="0"/>
    <x v="0"/>
    <n v="20"/>
  </r>
  <r>
    <d v="2025-03-29T00:00:00"/>
    <x v="41"/>
    <x v="0"/>
    <x v="0"/>
    <n v="50"/>
  </r>
  <r>
    <d v="2025-03-29T00:00:00"/>
    <x v="33"/>
    <x v="0"/>
    <x v="2"/>
    <n v="68.98"/>
  </r>
  <r>
    <d v="2025-03-30T00:00:00"/>
    <x v="30"/>
    <x v="0"/>
    <x v="0"/>
    <n v="20"/>
  </r>
  <r>
    <d v="2025-03-30T00:00:00"/>
    <x v="42"/>
    <x v="0"/>
    <x v="2"/>
    <n v="141.69999999999999"/>
  </r>
  <r>
    <d v="2025-03-30T00:00:00"/>
    <x v="14"/>
    <x v="1"/>
    <x v="4"/>
    <n v="70"/>
  </r>
  <r>
    <d v="2025-03-31T00:00:00"/>
    <x v="4"/>
    <x v="0"/>
    <x v="1"/>
    <n v="0.05"/>
  </r>
  <r>
    <d v="2025-04-01T00:00:00"/>
    <x v="4"/>
    <x v="0"/>
    <x v="1"/>
    <n v="0.08"/>
  </r>
  <r>
    <d v="2025-04-01T00:00:00"/>
    <x v="43"/>
    <x v="0"/>
    <x v="0"/>
    <n v="40"/>
  </r>
  <r>
    <d v="2025-04-02T00:00:00"/>
    <x v="4"/>
    <x v="0"/>
    <x v="1"/>
    <n v="0.09"/>
  </r>
  <r>
    <d v="2025-04-03T00:00:00"/>
    <x v="4"/>
    <x v="0"/>
    <x v="1"/>
    <n v="0.11"/>
  </r>
  <r>
    <d v="2025-04-03T00:00:00"/>
    <x v="44"/>
    <x v="0"/>
    <x v="2"/>
    <n v="74"/>
  </r>
  <r>
    <d v="2025-04-04T00:00:00"/>
    <x v="4"/>
    <x v="0"/>
    <x v="1"/>
    <n v="0.1"/>
  </r>
  <r>
    <d v="2025-04-06T00:00:00"/>
    <x v="45"/>
    <x v="0"/>
    <x v="0"/>
    <n v="20"/>
  </r>
  <r>
    <d v="2025-04-06T00:00:00"/>
    <x v="46"/>
    <x v="0"/>
    <x v="0"/>
    <n v="20"/>
  </r>
  <r>
    <d v="2025-04-06T00:00:00"/>
    <x v="12"/>
    <x v="0"/>
    <x v="0"/>
    <n v="20"/>
  </r>
  <r>
    <d v="2025-04-06T00:00:00"/>
    <x v="43"/>
    <x v="0"/>
    <x v="0"/>
    <n v="20"/>
  </r>
  <r>
    <d v="2025-04-06T00:00:00"/>
    <x v="14"/>
    <x v="1"/>
    <x v="4"/>
    <n v="90"/>
  </r>
  <r>
    <d v="2025-04-07T00:00:00"/>
    <x v="4"/>
    <x v="0"/>
    <x v="1"/>
    <n v="0.1"/>
  </r>
  <r>
    <d v="2025-04-07T00:00:00"/>
    <x v="47"/>
    <x v="0"/>
    <x v="0"/>
    <n v="20"/>
  </r>
  <r>
    <d v="2025-04-07T00:00:00"/>
    <x v="34"/>
    <x v="1"/>
    <x v="5"/>
    <n v="7.8"/>
  </r>
  <r>
    <d v="2025-04-07T00:00:00"/>
    <x v="33"/>
    <x v="0"/>
    <x v="2"/>
    <n v="12.2"/>
  </r>
  <r>
    <d v="2025-04-08T00:00:00"/>
    <x v="4"/>
    <x v="0"/>
    <x v="1"/>
    <n v="0.14000000000000001"/>
  </r>
  <r>
    <d v="2025-04-08T00:00:00"/>
    <x v="40"/>
    <x v="0"/>
    <x v="0"/>
    <n v="100"/>
  </r>
  <r>
    <d v="2025-04-09T00:00:00"/>
    <x v="47"/>
    <x v="0"/>
    <x v="0"/>
    <n v="40"/>
  </r>
  <r>
    <d v="2025-04-09T00:00:00"/>
    <x v="4"/>
    <x v="0"/>
    <x v="1"/>
    <n v="0.14000000000000001"/>
  </r>
  <r>
    <d v="2025-04-09T00:00:00"/>
    <x v="48"/>
    <x v="0"/>
    <x v="2"/>
    <n v="90.49"/>
  </r>
  <r>
    <d v="2025-04-10T00:00:00"/>
    <x v="4"/>
    <x v="0"/>
    <x v="1"/>
    <n v="0.2"/>
  </r>
  <r>
    <d v="2025-04-10T00:00:00"/>
    <x v="49"/>
    <x v="0"/>
    <x v="2"/>
    <n v="4.12"/>
  </r>
  <r>
    <d v="2025-04-11T00:00:00"/>
    <x v="4"/>
    <x v="0"/>
    <x v="1"/>
    <n v="0.19"/>
  </r>
  <r>
    <d v="2025-04-12T00:00:00"/>
    <x v="40"/>
    <x v="0"/>
    <x v="0"/>
    <n v="56.8"/>
  </r>
  <r>
    <d v="2025-04-12T00:00:00"/>
    <x v="50"/>
    <x v="0"/>
    <x v="0"/>
    <n v="524"/>
  </r>
  <r>
    <d v="2025-04-12T00:00:00"/>
    <x v="11"/>
    <x v="0"/>
    <x v="3"/>
    <n v="1010.37"/>
  </r>
  <r>
    <d v="2025-04-12T00:00:00"/>
    <x v="51"/>
    <x v="0"/>
    <x v="2"/>
    <n v="53.26"/>
  </r>
  <r>
    <d v="2025-04-12T00:00:00"/>
    <x v="31"/>
    <x v="0"/>
    <x v="2"/>
    <n v="532.65"/>
  </r>
  <r>
    <d v="2025-04-12T00:00:00"/>
    <x v="33"/>
    <x v="0"/>
    <x v="2"/>
    <n v="124.72"/>
  </r>
  <r>
    <d v="2025-04-12T00:00:00"/>
    <x v="52"/>
    <x v="0"/>
    <x v="2"/>
    <n v="88.8"/>
  </r>
  <r>
    <d v="2025-04-12T00:00:00"/>
    <x v="34"/>
    <x v="1"/>
    <x v="5"/>
    <n v="305.35000000000002"/>
  </r>
  <r>
    <d v="2025-04-14T00:00:00"/>
    <x v="4"/>
    <x v="0"/>
    <x v="1"/>
    <n v="0.2"/>
  </r>
  <r>
    <d v="2025-04-15T00:00:00"/>
    <x v="4"/>
    <x v="0"/>
    <x v="1"/>
    <n v="0.02"/>
  </r>
  <r>
    <d v="2025-04-15T00:00:00"/>
    <x v="53"/>
    <x v="0"/>
    <x v="2"/>
    <n v="651.72"/>
  </r>
  <r>
    <d v="2025-04-15T00:00:00"/>
    <x v="54"/>
    <x v="0"/>
    <x v="2"/>
    <n v="651.72"/>
  </r>
  <r>
    <d v="2025-04-16T00:00:00"/>
    <x v="4"/>
    <x v="0"/>
    <x v="1"/>
    <n v="0.02"/>
  </r>
  <r>
    <d v="2025-04-17T00:00:00"/>
    <x v="4"/>
    <x v="0"/>
    <x v="1"/>
    <n v="0.03"/>
  </r>
  <r>
    <d v="2025-04-17T00:00:00"/>
    <x v="50"/>
    <x v="0"/>
    <x v="3"/>
    <n v="5"/>
  </r>
  <r>
    <d v="2025-04-17T00:00:00"/>
    <x v="55"/>
    <x v="0"/>
    <x v="2"/>
    <n v="62.5"/>
  </r>
  <r>
    <d v="2025-04-17T00:00:00"/>
    <x v="56"/>
    <x v="0"/>
    <x v="2"/>
    <n v="70.260000000000005"/>
  </r>
  <r>
    <d v="2025-04-17T00:00:00"/>
    <x v="57"/>
    <x v="0"/>
    <x v="2"/>
    <n v="62.5"/>
  </r>
  <r>
    <d v="2025-04-18T00:00:00"/>
    <x v="58"/>
    <x v="0"/>
    <x v="2"/>
    <n v="59.79"/>
  </r>
  <r>
    <d v="2025-04-19T00:00:00"/>
    <x v="46"/>
    <x v="0"/>
    <x v="0"/>
    <n v="351"/>
  </r>
  <r>
    <d v="2025-04-19T00:00:00"/>
    <x v="59"/>
    <x v="0"/>
    <x v="0"/>
    <n v="20"/>
  </r>
  <r>
    <d v="2025-04-20T00:00:00"/>
    <x v="26"/>
    <x v="0"/>
    <x v="0"/>
    <n v="40"/>
  </r>
  <r>
    <d v="2025-04-20T00:00:00"/>
    <x v="60"/>
    <x v="0"/>
    <x v="2"/>
    <n v="94"/>
  </r>
  <r>
    <d v="2025-04-20T00:00:00"/>
    <x v="61"/>
    <x v="0"/>
    <x v="2"/>
    <n v="36.94"/>
  </r>
  <r>
    <d v="2025-04-22T00:00:00"/>
    <x v="4"/>
    <x v="0"/>
    <x v="1"/>
    <n v="0.03"/>
  </r>
  <r>
    <d v="2025-04-22T00:00:00"/>
    <x v="48"/>
    <x v="0"/>
    <x v="2"/>
    <n v="90.07"/>
  </r>
  <r>
    <d v="2025-04-22T00:00:00"/>
    <x v="62"/>
    <x v="0"/>
    <x v="2"/>
    <n v="86"/>
  </r>
  <r>
    <d v="2025-04-22T00:00:00"/>
    <x v="63"/>
    <x v="0"/>
    <x v="2"/>
    <n v="86"/>
  </r>
  <r>
    <d v="2025-04-22T00:00:00"/>
    <x v="64"/>
    <x v="0"/>
    <x v="2"/>
    <n v="86"/>
  </r>
  <r>
    <d v="2025-04-22T00:00:00"/>
    <x v="65"/>
    <x v="0"/>
    <x v="2"/>
    <n v="110"/>
  </r>
  <r>
    <d v="2025-04-23T00:00:00"/>
    <x v="4"/>
    <x v="0"/>
    <x v="1"/>
    <n v="0.2"/>
  </r>
  <r>
    <d v="2025-04-23T00:00:00"/>
    <x v="66"/>
    <x v="0"/>
    <x v="2"/>
    <n v="104.93"/>
  </r>
  <r>
    <d v="2025-04-24T00:00:00"/>
    <x v="4"/>
    <x v="0"/>
    <x v="1"/>
    <n v="0.19"/>
  </r>
  <r>
    <d v="2025-04-24T00:00:00"/>
    <x v="67"/>
    <x v="0"/>
    <x v="0"/>
    <n v="210"/>
  </r>
  <r>
    <d v="2025-04-25T00:00:00"/>
    <x v="4"/>
    <x v="0"/>
    <x v="1"/>
    <n v="0.2"/>
  </r>
  <r>
    <d v="2025-04-26T00:00:00"/>
    <x v="68"/>
    <x v="0"/>
    <x v="3"/>
    <n v="5"/>
  </r>
  <r>
    <d v="2025-04-27T00:00:00"/>
    <x v="69"/>
    <x v="0"/>
    <x v="0"/>
    <n v="261"/>
  </r>
  <r>
    <d v="2025-04-28T00:00:00"/>
    <x v="4"/>
    <x v="0"/>
    <x v="1"/>
    <n v="0.28000000000000003"/>
  </r>
  <r>
    <d v="2025-04-29T00:00:00"/>
    <x v="4"/>
    <x v="0"/>
    <x v="1"/>
    <n v="0.41"/>
  </r>
  <r>
    <d v="2025-04-30T00:00:00"/>
    <x v="4"/>
    <x v="0"/>
    <x v="1"/>
    <n v="0.39"/>
  </r>
  <r>
    <d v="2025-04-30T00:00:00"/>
    <x v="37"/>
    <x v="0"/>
    <x v="2"/>
    <n v="70"/>
  </r>
  <r>
    <d v="2025-05-02T00:00:00"/>
    <x v="4"/>
    <x v="0"/>
    <x v="1"/>
    <n v="0.4"/>
  </r>
  <r>
    <d v="2025-05-02T00:00:00"/>
    <x v="43"/>
    <x v="0"/>
    <x v="0"/>
    <n v="140"/>
  </r>
  <r>
    <d v="2025-05-02T00:00:00"/>
    <x v="70"/>
    <x v="0"/>
    <x v="3"/>
    <n v="40"/>
  </r>
  <r>
    <d v="2025-05-03T00:00:00"/>
    <x v="37"/>
    <x v="0"/>
    <x v="3"/>
    <n v="70"/>
  </r>
  <r>
    <m/>
    <x v="71"/>
    <x v="2"/>
    <x v="6"/>
    <m/>
  </r>
  <r>
    <m/>
    <x v="71"/>
    <x v="2"/>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A000000}" name="Tabela dinâmica8"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15">
  <location ref="Z3:AA30" firstHeaderRow="1" firstDataRow="1" firstDataCol="1"/>
  <pivotFields count="24">
    <pivotField compact="0" outline="0" showAll="0" defaultSubtotal="0">
      <items count="5">
        <item x="0"/>
        <item x="2"/>
        <item x="1"/>
        <item m="1" x="4"/>
        <item x="3"/>
      </items>
    </pivotField>
    <pivotField axis="axisRow" compact="0" outline="0" showAll="0" defaultSubtotal="0">
      <items count="36">
        <item m="1" x="28"/>
        <item x="1"/>
        <item x="26"/>
        <item x="2"/>
        <item m="1" x="34"/>
        <item m="1" x="31"/>
        <item m="1" x="30"/>
        <item x="8"/>
        <item m="1" x="29"/>
        <item x="23"/>
        <item m="1" x="27"/>
        <item x="25"/>
        <item x="0"/>
        <item m="1" x="32"/>
        <item x="22"/>
        <item x="24"/>
        <item m="1" x="35"/>
        <item x="5"/>
        <item m="1" x="33"/>
        <item x="3"/>
        <item x="4"/>
        <item x="6"/>
        <item x="7"/>
        <item x="9"/>
        <item x="10"/>
        <item x="11"/>
        <item x="12"/>
        <item x="13"/>
        <item x="14"/>
        <item x="15"/>
        <item x="16"/>
        <item x="17"/>
        <item x="18"/>
        <item x="19"/>
        <item x="20"/>
        <item x="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dragToRow="0" dragToCol="0" dragToPage="0" showAll="0" defaultSubtotal="0"/>
    <pivotField compact="0" outline="0" subtotalTop="0" dragToRow="0" dragToCol="0" dragToPage="0" showAll="0" defaultSubtotal="0"/>
  </pivotFields>
  <rowFields count="1">
    <field x="1"/>
  </rowFields>
  <rowItems count="27">
    <i>
      <x v="1"/>
    </i>
    <i>
      <x v="2"/>
    </i>
    <i>
      <x v="3"/>
    </i>
    <i>
      <x v="7"/>
    </i>
    <i>
      <x v="9"/>
    </i>
    <i>
      <x v="11"/>
    </i>
    <i>
      <x v="12"/>
    </i>
    <i>
      <x v="14"/>
    </i>
    <i>
      <x v="15"/>
    </i>
    <i>
      <x v="17"/>
    </i>
    <i>
      <x v="19"/>
    </i>
    <i>
      <x v="20"/>
    </i>
    <i>
      <x v="21"/>
    </i>
    <i>
      <x v="22"/>
    </i>
    <i>
      <x v="23"/>
    </i>
    <i>
      <x v="24"/>
    </i>
    <i>
      <x v="25"/>
    </i>
    <i>
      <x v="26"/>
    </i>
    <i>
      <x v="27"/>
    </i>
    <i>
      <x v="28"/>
    </i>
    <i>
      <x v="29"/>
    </i>
    <i>
      <x v="30"/>
    </i>
    <i>
      <x v="31"/>
    </i>
    <i>
      <x v="32"/>
    </i>
    <i>
      <x v="33"/>
    </i>
    <i>
      <x v="34"/>
    </i>
    <i>
      <x v="35"/>
    </i>
  </rowItems>
  <colItems count="1">
    <i/>
  </colItems>
  <dataFields count="1">
    <dataField name="Soma de Valor Total Unitario dos brigadeiros" fld="16" baseField="1" baseItem="2" numFmtId="165"/>
  </dataFields>
  <formats count="17">
    <format dxfId="46">
      <pivotArea type="all" dataOnly="0" outline="0" fieldPosition="0"/>
    </format>
    <format dxfId="45">
      <pivotArea outline="0" collapsedLevelsAreSubtotals="1" fieldPosition="0"/>
    </format>
    <format dxfId="44">
      <pivotArea field="1" type="button" dataOnly="0" labelOnly="1" outline="0" axis="axisRow" fieldPosition="0"/>
    </format>
    <format dxfId="43">
      <pivotArea dataOnly="0" labelOnly="1" outline="0" fieldPosition="0">
        <references count="1">
          <reference field="1" count="0"/>
        </references>
      </pivotArea>
    </format>
    <format dxfId="42">
      <pivotArea dataOnly="0" labelOnly="1" grandRow="1" outline="0" fieldPosition="0"/>
    </format>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outline="0" fieldPosition="0">
        <references count="1">
          <reference field="1" count="0"/>
        </references>
      </pivotArea>
    </format>
    <format dxfId="37">
      <pivotArea dataOnly="0" labelOnly="1" grandRow="1" outline="0" fieldPosition="0"/>
    </format>
    <format dxfId="36">
      <pivotArea outline="0" fieldPosition="0">
        <references count="1">
          <reference field="1" count="1" selected="0">
            <x v="11"/>
          </reference>
        </references>
      </pivotArea>
    </format>
    <format dxfId="35">
      <pivotArea outline="0" fieldPosition="0">
        <references count="1">
          <reference field="4294967294" count="1">
            <x v="0"/>
          </reference>
        </references>
      </pivotArea>
    </format>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outline="0" fieldPosition="0">
        <references count="1">
          <reference field="1" count="0"/>
        </references>
      </pivotArea>
    </format>
    <format dxfId="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Tabela dinâmica29" cacheId="1"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multipleFieldFilters="0" chartFormat="9">
  <location ref="AU3:AV49" firstHeaderRow="1" firstDataRow="1" firstDataCol="1" rowPageCount="1" colPageCount="1"/>
  <pivotFields count="12">
    <pivotField showAll="0">
      <items count="37">
        <item x="0"/>
        <item x="1"/>
        <item x="2"/>
        <item x="3"/>
        <item x="4"/>
        <item x="5"/>
        <item x="6"/>
        <item x="7"/>
        <item x="8"/>
        <item x="9"/>
        <item x="10"/>
        <item x="11"/>
        <item x="12"/>
        <item x="13"/>
        <item x="14"/>
        <item x="15"/>
        <item x="16"/>
        <item x="35"/>
        <item x="17"/>
        <item x="20"/>
        <item x="19"/>
        <item x="18"/>
        <item x="21"/>
        <item x="22"/>
        <item x="23"/>
        <item x="26"/>
        <item x="25"/>
        <item x="24"/>
        <item x="27"/>
        <item x="28"/>
        <item x="29"/>
        <item x="32"/>
        <item x="30"/>
        <item x="31"/>
        <item x="33"/>
        <item x="34"/>
        <item t="default"/>
      </items>
    </pivotField>
    <pivotField showAll="0">
      <items count="7">
        <item x="0"/>
        <item x="1"/>
        <item x="2"/>
        <item x="3"/>
        <item x="4"/>
        <item x="5"/>
        <item t="default"/>
      </items>
    </pivotField>
    <pivotField axis="axisRow" showAll="0" sortType="descending">
      <items count="50">
        <item x="6"/>
        <item x="2"/>
        <item x="1"/>
        <item x="4"/>
        <item x="8"/>
        <item x="7"/>
        <item x="0"/>
        <item x="3"/>
        <item x="5"/>
        <item x="47"/>
        <item x="9"/>
        <item x="10"/>
        <item x="11"/>
        <item x="12"/>
        <item x="13"/>
        <item x="14"/>
        <item x="15"/>
        <item m="1" x="48"/>
        <item x="17"/>
        <item x="16"/>
        <item x="18"/>
        <item x="19"/>
        <item x="20"/>
        <item x="21"/>
        <item x="22"/>
        <item x="23"/>
        <item x="24"/>
        <item x="25"/>
        <item x="26"/>
        <item x="27"/>
        <item x="28"/>
        <item x="29"/>
        <item x="30"/>
        <item x="31"/>
        <item x="32"/>
        <item x="33"/>
        <item x="34"/>
        <item x="35"/>
        <item x="36"/>
        <item x="37"/>
        <item x="38"/>
        <item x="39"/>
        <item x="40"/>
        <item x="41"/>
        <item x="42"/>
        <item x="43"/>
        <item x="44"/>
        <item x="45"/>
        <item x="46"/>
        <item t="default"/>
      </items>
      <autoSortScope>
        <pivotArea dataOnly="0" outline="0" fieldPosition="0">
          <references count="1">
            <reference field="4294967294" count="1" selected="0">
              <x v="0"/>
            </reference>
          </references>
        </pivotArea>
      </autoSortScope>
    </pivotField>
    <pivotField axis="axisPage" multipleItemSelectionAllowed="1" showAll="0">
      <items count="13">
        <item x="0"/>
        <item x="3"/>
        <item x="1"/>
        <item h="1" x="2"/>
        <item h="1" x="11"/>
        <item x="4"/>
        <item x="5"/>
        <item x="6"/>
        <item x="7"/>
        <item x="8"/>
        <item x="9"/>
        <item x="10"/>
        <item t="default"/>
      </items>
    </pivotField>
    <pivotField showAll="0"/>
    <pivotField showAll="0"/>
    <pivotField showAll="0"/>
    <pivotField dataField="1" showAll="0"/>
    <pivotField showAll="0"/>
    <pivotField showAll="0"/>
    <pivotField showAll="0">
      <items count="4">
        <item x="1"/>
        <item x="0"/>
        <item x="2"/>
        <item t="default"/>
      </items>
    </pivotField>
    <pivotField showAll="0">
      <items count="15">
        <item x="0"/>
        <item x="1"/>
        <item x="2"/>
        <item x="3"/>
        <item x="4"/>
        <item x="5"/>
        <item x="6"/>
        <item x="7"/>
        <item x="8"/>
        <item x="9"/>
        <item x="10"/>
        <item x="11"/>
        <item x="12"/>
        <item x="13"/>
        <item t="default"/>
      </items>
    </pivotField>
  </pivotFields>
  <rowFields count="1">
    <field x="2"/>
  </rowFields>
  <rowItems count="46">
    <i>
      <x v="7"/>
    </i>
    <i>
      <x v="15"/>
    </i>
    <i>
      <x v="10"/>
    </i>
    <i>
      <x v="40"/>
    </i>
    <i>
      <x v="5"/>
    </i>
    <i>
      <x v="24"/>
    </i>
    <i>
      <x v="20"/>
    </i>
    <i>
      <x v="26"/>
    </i>
    <i>
      <x v="43"/>
    </i>
    <i>
      <x v="32"/>
    </i>
    <i>
      <x/>
    </i>
    <i>
      <x v="22"/>
    </i>
    <i>
      <x v="27"/>
    </i>
    <i>
      <x v="2"/>
    </i>
    <i>
      <x v="14"/>
    </i>
    <i>
      <x v="39"/>
    </i>
    <i>
      <x v="19"/>
    </i>
    <i>
      <x v="30"/>
    </i>
    <i>
      <x v="31"/>
    </i>
    <i>
      <x v="29"/>
    </i>
    <i>
      <x v="38"/>
    </i>
    <i>
      <x v="16"/>
    </i>
    <i>
      <x v="13"/>
    </i>
    <i>
      <x v="6"/>
    </i>
    <i>
      <x v="37"/>
    </i>
    <i>
      <x v="48"/>
    </i>
    <i>
      <x v="18"/>
    </i>
    <i>
      <x v="33"/>
    </i>
    <i>
      <x v="46"/>
    </i>
    <i>
      <x v="42"/>
    </i>
    <i>
      <x v="11"/>
    </i>
    <i>
      <x v="3"/>
    </i>
    <i>
      <x v="44"/>
    </i>
    <i>
      <x v="47"/>
    </i>
    <i>
      <x v="1"/>
    </i>
    <i>
      <x v="21"/>
    </i>
    <i>
      <x v="41"/>
    </i>
    <i>
      <x v="35"/>
    </i>
    <i>
      <x v="12"/>
    </i>
    <i>
      <x v="36"/>
    </i>
    <i>
      <x v="45"/>
    </i>
    <i>
      <x v="23"/>
    </i>
    <i>
      <x v="28"/>
    </i>
    <i>
      <x v="4"/>
    </i>
    <i>
      <x v="34"/>
    </i>
    <i>
      <x v="25"/>
    </i>
  </rowItems>
  <colItems count="1">
    <i/>
  </colItems>
  <pageFields count="1">
    <pageField fld="3" hier="-1"/>
  </pageFields>
  <dataFields count="1">
    <dataField name="Soma de Quantidade" fld="7" baseField="0" baseItem="0"/>
  </dataFields>
  <formats count="6">
    <format dxfId="52">
      <pivotArea collapsedLevelsAreSubtotals="1" fieldPosition="0">
        <references count="1">
          <reference field="2" count="1">
            <x v="10"/>
          </reference>
        </references>
      </pivotArea>
    </format>
    <format dxfId="51">
      <pivotArea type="all" dataOnly="0" outline="0" fieldPosition="0"/>
    </format>
    <format dxfId="50">
      <pivotArea outline="0" collapsedLevelsAreSubtotals="1" fieldPosition="0"/>
    </format>
    <format dxfId="49">
      <pivotArea field="2" type="button" dataOnly="0" labelOnly="1" outline="0" axis="axisRow" fieldPosition="0"/>
    </format>
    <format dxfId="48">
      <pivotArea dataOnly="0" labelOnly="1" fieldPosition="0">
        <references count="1">
          <reference field="2" count="35">
            <x v="0"/>
            <x v="1"/>
            <x v="2"/>
            <x v="3"/>
            <x v="4"/>
            <x v="5"/>
            <x v="6"/>
            <x v="7"/>
            <x v="10"/>
            <x v="11"/>
            <x v="12"/>
            <x v="13"/>
            <x v="14"/>
            <x v="15"/>
            <x v="16"/>
            <x v="18"/>
            <x v="19"/>
            <x v="20"/>
            <x v="21"/>
            <x v="22"/>
            <x v="23"/>
            <x v="24"/>
            <x v="25"/>
            <x v="26"/>
            <x v="27"/>
            <x v="28"/>
            <x v="29"/>
            <x v="30"/>
            <x v="31"/>
            <x v="32"/>
            <x v="33"/>
            <x v="34"/>
            <x v="35"/>
            <x v="36"/>
            <x v="37"/>
          </reference>
        </references>
      </pivotArea>
    </format>
    <format dxfId="47">
      <pivotArea dataOnly="0" labelOnly="1" outline="0" axis="axisValues" fieldPosition="0"/>
    </format>
  </format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7000000}" name="Tabela dinâmica2" cacheId="1" applyNumberFormats="0" applyBorderFormats="0" applyFontFormats="0" applyPatternFormats="0" applyAlignmentFormats="0" applyWidthHeightFormats="1" dataCaption="Valores" updatedVersion="8" minRefreshableVersion="5" useAutoFormatting="1" rowGrandTotals="0" colGrandTotals="0" itemPrintTitles="1" createdVersion="8" indent="0" compact="0" compactData="0" multipleFieldFilters="0">
  <location ref="BI3:BI4" firstHeaderRow="1" firstDataRow="1" firstDataCol="0" rowPageCount="1" colPageCount="1"/>
  <pivotFields count="12">
    <pivotField compact="0" outline="0" showAll="0" defaultSubtotal="0">
      <items count="36">
        <item x="0"/>
        <item x="1"/>
        <item x="2"/>
        <item x="3"/>
        <item x="4"/>
        <item x="5"/>
        <item x="6"/>
        <item x="7"/>
        <item x="8"/>
        <item x="9"/>
        <item x="10"/>
        <item x="11"/>
        <item x="12"/>
        <item x="13"/>
        <item x="14"/>
        <item x="15"/>
        <item x="16"/>
        <item x="35"/>
        <item x="17"/>
        <item x="20"/>
        <item x="19"/>
        <item x="18"/>
        <item x="21"/>
        <item x="22"/>
        <item x="23"/>
        <item x="26"/>
        <item x="25"/>
        <item x="24"/>
        <item x="27"/>
        <item x="28"/>
        <item x="29"/>
        <item x="32"/>
        <item x="30"/>
        <item x="31"/>
        <item x="33"/>
        <item x="34"/>
      </items>
    </pivotField>
    <pivotField compact="0" outline="0" subtotalTop="0" showAll="0" defaultSubtotal="0"/>
    <pivotField compact="0" outline="0" showAll="0" defaultSubtotal="0">
      <items count="49">
        <item x="23"/>
        <item x="6"/>
        <item x="24"/>
        <item m="1" x="48"/>
        <item x="16"/>
        <item x="32"/>
        <item x="2"/>
        <item x="17"/>
        <item x="1"/>
        <item x="46"/>
        <item x="43"/>
        <item x="13"/>
        <item x="38"/>
        <item x="12"/>
        <item x="42"/>
        <item x="21"/>
        <item x="15"/>
        <item x="26"/>
        <item x="37"/>
        <item x="33"/>
        <item x="22"/>
        <item x="4"/>
        <item x="14"/>
        <item x="20"/>
        <item x="40"/>
        <item x="8"/>
        <item x="31"/>
        <item x="44"/>
        <item x="28"/>
        <item x="41"/>
        <item x="7"/>
        <item x="39"/>
        <item x="30"/>
        <item x="34"/>
        <item x="0"/>
        <item x="19"/>
        <item x="3"/>
        <item x="29"/>
        <item x="5"/>
        <item x="18"/>
        <item x="27"/>
        <item x="45"/>
        <item x="35"/>
        <item x="25"/>
        <item x="36"/>
        <item x="11"/>
        <item x="9"/>
        <item x="10"/>
        <item x="47"/>
      </items>
    </pivotField>
    <pivotField axis="axisPage" compact="0" outline="0" multipleItemSelectionAllowed="1" showAll="0" defaultSubtotal="0">
      <items count="12">
        <item h="1" x="0"/>
        <item h="1" x="3"/>
        <item h="1" x="1"/>
        <item x="2"/>
        <item h="1" x="11"/>
        <item h="1" x="4"/>
        <item h="1" x="5"/>
        <item h="1" x="6"/>
        <item h="1" x="7"/>
        <item h="1" x="8"/>
        <item h="1" x="9"/>
        <item h="1" x="10"/>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14">
        <item x="0"/>
        <item x="1"/>
        <item x="2"/>
        <item x="3"/>
        <item x="4"/>
        <item x="5"/>
        <item x="6"/>
        <item x="7"/>
        <item x="8"/>
        <item x="9"/>
        <item x="10"/>
        <item x="11"/>
        <item x="12"/>
        <item x="13"/>
      </items>
    </pivotField>
  </pivotFields>
  <rowItems count="1">
    <i/>
  </rowItems>
  <colItems count="1">
    <i/>
  </colItems>
  <pageFields count="1">
    <pageField fld="3" hier="-1"/>
  </pageFields>
  <dataFields count="1">
    <dataField name="Soma de Custo Unitario" fld="4" baseField="2" baseItem="0" numFmtId="165"/>
  </dataFields>
  <formats count="3">
    <format dxfId="55">
      <pivotArea type="all" dataOnly="0" outline="0" fieldPosition="0"/>
    </format>
    <format dxfId="54">
      <pivotArea outline="0" collapsedLevelsAreSubtotals="1" fieldPosition="0"/>
    </format>
    <format dxfId="5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Tabela dinâmica3"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14">
  <location ref="AC3:AD30" firstHeaderRow="1" firstDataRow="1" firstDataCol="1"/>
  <pivotFields count="24">
    <pivotField compact="0" outline="0" showAll="0" defaultSubtotal="0">
      <items count="5">
        <item x="0"/>
        <item x="2"/>
        <item x="1"/>
        <item m="1" x="4"/>
        <item x="3"/>
      </items>
    </pivotField>
    <pivotField axis="axisRow" compact="0" outline="0" showAll="0" defaultSubtotal="0">
      <items count="36">
        <item m="1" x="28"/>
        <item x="1"/>
        <item x="26"/>
        <item x="2"/>
        <item m="1" x="34"/>
        <item m="1" x="31"/>
        <item m="1" x="30"/>
        <item x="8"/>
        <item m="1" x="29"/>
        <item x="23"/>
        <item m="1" x="27"/>
        <item x="25"/>
        <item x="0"/>
        <item m="1" x="32"/>
        <item x="22"/>
        <item x="24"/>
        <item m="1" x="35"/>
        <item x="5"/>
        <item m="1" x="33"/>
        <item x="3"/>
        <item x="4"/>
        <item x="6"/>
        <item x="7"/>
        <item x="9"/>
        <item x="10"/>
        <item x="11"/>
        <item x="12"/>
        <item x="13"/>
        <item x="14"/>
        <item x="15"/>
        <item x="16"/>
        <item x="17"/>
        <item x="18"/>
        <item x="19"/>
        <item x="20"/>
        <item x="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dragToRow="0" dragToCol="0" dragToPage="0" showAll="0" defaultSubtotal="0"/>
    <pivotField compact="0" outline="0" subtotalTop="0" dragToRow="0" dragToCol="0" dragToPage="0" showAll="0" defaultSubtotal="0"/>
  </pivotFields>
  <rowFields count="1">
    <field x="1"/>
  </rowFields>
  <rowItems count="27">
    <i>
      <x v="1"/>
    </i>
    <i>
      <x v="2"/>
    </i>
    <i>
      <x v="3"/>
    </i>
    <i>
      <x v="7"/>
    </i>
    <i>
      <x v="9"/>
    </i>
    <i>
      <x v="11"/>
    </i>
    <i>
      <x v="12"/>
    </i>
    <i>
      <x v="14"/>
    </i>
    <i>
      <x v="15"/>
    </i>
    <i>
      <x v="17"/>
    </i>
    <i>
      <x v="19"/>
    </i>
    <i>
      <x v="20"/>
    </i>
    <i>
      <x v="21"/>
    </i>
    <i>
      <x v="22"/>
    </i>
    <i>
      <x v="23"/>
    </i>
    <i>
      <x v="24"/>
    </i>
    <i>
      <x v="25"/>
    </i>
    <i>
      <x v="26"/>
    </i>
    <i>
      <x v="27"/>
    </i>
    <i>
      <x v="28"/>
    </i>
    <i>
      <x v="29"/>
    </i>
    <i>
      <x v="30"/>
    </i>
    <i>
      <x v="31"/>
    </i>
    <i>
      <x v="32"/>
    </i>
    <i>
      <x v="33"/>
    </i>
    <i>
      <x v="34"/>
    </i>
    <i>
      <x v="35"/>
    </i>
  </rowItems>
  <colItems count="1">
    <i/>
  </colItems>
  <dataFields count="1">
    <dataField name="Soma de Valor Total Produção" fld="15" baseField="1" baseItem="0" numFmtId="165"/>
  </dataFields>
  <formats count="16">
    <format dxfId="71">
      <pivotArea type="all" dataOnly="0" outline="0" fieldPosition="0"/>
    </format>
    <format dxfId="70">
      <pivotArea outline="0" collapsedLevelsAreSubtotals="1" fieldPosition="0"/>
    </format>
    <format dxfId="69">
      <pivotArea field="1" type="button" dataOnly="0" labelOnly="1" outline="0" axis="axisRow" fieldPosition="0"/>
    </format>
    <format dxfId="68">
      <pivotArea dataOnly="0" labelOnly="1" outline="0" fieldPosition="0">
        <references count="1">
          <reference field="1" count="0"/>
        </references>
      </pivotArea>
    </format>
    <format dxfId="67">
      <pivotArea dataOnly="0" labelOnly="1" grandRow="1" outline="0" fieldPosition="0"/>
    </format>
    <format dxfId="66">
      <pivotArea type="all" dataOnly="0" outline="0" fieldPosition="0"/>
    </format>
    <format dxfId="65">
      <pivotArea outline="0" collapsedLevelsAreSubtotals="1" fieldPosition="0"/>
    </format>
    <format dxfId="64">
      <pivotArea field="1" type="button" dataOnly="0" labelOnly="1" outline="0" axis="axisRow" fieldPosition="0"/>
    </format>
    <format dxfId="63">
      <pivotArea dataOnly="0" labelOnly="1" outline="0" fieldPosition="0">
        <references count="1">
          <reference field="1" count="0"/>
        </references>
      </pivotArea>
    </format>
    <format dxfId="62">
      <pivotArea dataOnly="0" labelOnly="1" grandRow="1" outline="0" fieldPosition="0"/>
    </format>
    <format dxfId="61">
      <pivotArea outline="0" fieldPosition="0">
        <references count="1">
          <reference field="4294967294" count="1">
            <x v="0"/>
          </reference>
        </references>
      </pivotArea>
    </format>
    <format dxfId="60">
      <pivotArea type="all" dataOnly="0" outline="0" fieldPosition="0"/>
    </format>
    <format dxfId="59">
      <pivotArea outline="0" collapsedLevelsAreSubtotals="1" fieldPosition="0"/>
    </format>
    <format dxfId="58">
      <pivotArea field="1" type="button" dataOnly="0" labelOnly="1" outline="0" axis="axisRow" fieldPosition="0"/>
    </format>
    <format dxfId="57">
      <pivotArea dataOnly="0" labelOnly="1" outline="0" fieldPosition="0">
        <references count="1">
          <reference field="1" count="0"/>
        </references>
      </pivotArea>
    </format>
    <format dxfId="56">
      <pivotArea dataOnly="0" labelOnly="1" outline="0" axis="axisValues" fieldPosition="0"/>
    </format>
  </formats>
  <chartFormats count="2">
    <chartFormat chart="2"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6000000}" name="Tabela dinâmica1" cacheId="1" applyNumberFormats="0" applyBorderFormats="0" applyFontFormats="0" applyPatternFormats="0" applyAlignmentFormats="0" applyWidthHeightFormats="1" dataCaption="Valores" updatedVersion="8" minRefreshableVersion="5" useAutoFormatting="1" rowGrandTotals="0" colGrandTotals="0" itemPrintTitles="1" createdVersion="8" indent="0" compact="0" compactData="0" multipleFieldFilters="0">
  <location ref="BE3:BF4" firstHeaderRow="0" firstDataRow="1" firstDataCol="0"/>
  <pivotFields count="12">
    <pivotField compact="0" outline="0" showAll="0" defaultSubtotal="0">
      <items count="36">
        <item x="0"/>
        <item x="1"/>
        <item x="2"/>
        <item x="3"/>
        <item x="4"/>
        <item x="5"/>
        <item x="6"/>
        <item x="7"/>
        <item x="8"/>
        <item x="9"/>
        <item x="10"/>
        <item x="11"/>
        <item x="12"/>
        <item x="13"/>
        <item x="14"/>
        <item x="15"/>
        <item x="16"/>
        <item x="35"/>
        <item x="17"/>
        <item x="20"/>
        <item x="19"/>
        <item x="18"/>
        <item x="21"/>
        <item x="22"/>
        <item x="23"/>
        <item x="26"/>
        <item x="25"/>
        <item x="24"/>
        <item x="27"/>
        <item x="28"/>
        <item x="29"/>
        <item x="32"/>
        <item x="30"/>
        <item x="31"/>
        <item x="33"/>
        <item x="34"/>
      </items>
    </pivotField>
    <pivotField compact="0" outline="0" subtotalTop="0" showAll="0" defaultSubtotal="0"/>
    <pivotField compact="0" outline="0" showAll="0" defaultSubtotal="0">
      <items count="49">
        <item x="23"/>
        <item x="6"/>
        <item x="24"/>
        <item m="1" x="48"/>
        <item x="16"/>
        <item x="32"/>
        <item x="2"/>
        <item x="17"/>
        <item x="1"/>
        <item x="46"/>
        <item x="43"/>
        <item x="13"/>
        <item x="38"/>
        <item x="12"/>
        <item x="42"/>
        <item x="21"/>
        <item x="15"/>
        <item x="26"/>
        <item x="37"/>
        <item x="33"/>
        <item x="22"/>
        <item x="4"/>
        <item x="14"/>
        <item x="20"/>
        <item x="40"/>
        <item x="8"/>
        <item x="31"/>
        <item x="44"/>
        <item x="28"/>
        <item x="41"/>
        <item x="7"/>
        <item x="39"/>
        <item x="30"/>
        <item x="34"/>
        <item x="0"/>
        <item x="19"/>
        <item x="3"/>
        <item x="29"/>
        <item x="5"/>
        <item x="18"/>
        <item x="27"/>
        <item x="45"/>
        <item x="35"/>
        <item x="25"/>
        <item x="36"/>
        <item x="11"/>
        <item x="9"/>
        <item x="10"/>
        <item x="4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compact="0" outline="0" showAll="0" defaultSubtotal="0"/>
    <pivotField compact="0" outline="0" subtotalTop="0" showAll="0" defaultSubtotal="0">
      <items count="14">
        <item x="0"/>
        <item x="1"/>
        <item x="2"/>
        <item x="3"/>
        <item x="4"/>
        <item x="5"/>
        <item x="6"/>
        <item x="7"/>
        <item x="8"/>
        <item x="9"/>
        <item x="10"/>
        <item x="11"/>
        <item x="12"/>
        <item x="13"/>
      </items>
    </pivotField>
  </pivotFields>
  <rowItems count="1">
    <i/>
  </rowItems>
  <colFields count="1">
    <field x="-2"/>
  </colFields>
  <colItems count="2">
    <i>
      <x/>
    </i>
    <i i="1">
      <x v="1"/>
    </i>
  </colItems>
  <dataFields count="2">
    <dataField name="Soma de Valor da Venda" fld="8" baseField="0" baseItem="1"/>
    <dataField name="Soma de Valor Recebido." fld="9" baseField="0" baseItem="1"/>
  </dataFields>
  <formats count="4">
    <format dxfId="75">
      <pivotArea outline="0" collapsedLevelsAreSubtotals="1" fieldPosition="0"/>
    </format>
    <format dxfId="74">
      <pivotArea type="all" dataOnly="0" outline="0" fieldPosition="0"/>
    </format>
    <format dxfId="73">
      <pivotArea outline="0" collapsedLevelsAreSubtotals="1" fieldPosition="0"/>
    </format>
    <format dxfId="72">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Tabela dinâmica28" cacheId="1"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multipleFieldFilters="0" chartFormat="6">
  <location ref="AR3:AS49" firstHeaderRow="1" firstDataRow="1" firstDataCol="1" rowPageCount="1" colPageCount="1"/>
  <pivotFields count="12">
    <pivotField showAll="0">
      <items count="37">
        <item x="0"/>
        <item x="1"/>
        <item x="2"/>
        <item x="3"/>
        <item x="4"/>
        <item x="5"/>
        <item x="6"/>
        <item x="7"/>
        <item x="8"/>
        <item x="9"/>
        <item x="10"/>
        <item x="11"/>
        <item x="12"/>
        <item x="13"/>
        <item x="14"/>
        <item x="15"/>
        <item x="16"/>
        <item x="35"/>
        <item x="17"/>
        <item x="20"/>
        <item x="19"/>
        <item x="18"/>
        <item x="21"/>
        <item x="22"/>
        <item x="23"/>
        <item x="26"/>
        <item x="25"/>
        <item x="24"/>
        <item x="27"/>
        <item x="28"/>
        <item x="29"/>
        <item x="32"/>
        <item x="30"/>
        <item x="31"/>
        <item x="33"/>
        <item x="34"/>
        <item t="default"/>
      </items>
    </pivotField>
    <pivotField showAll="0">
      <items count="7">
        <item x="0"/>
        <item x="1"/>
        <item x="2"/>
        <item x="3"/>
        <item x="4"/>
        <item x="5"/>
        <item t="default"/>
      </items>
    </pivotField>
    <pivotField axis="axisRow" showAll="0" sortType="descending">
      <items count="50">
        <item x="6"/>
        <item x="2"/>
        <item x="1"/>
        <item x="4"/>
        <item x="8"/>
        <item x="7"/>
        <item x="0"/>
        <item x="3"/>
        <item x="5"/>
        <item x="47"/>
        <item x="9"/>
        <item x="10"/>
        <item x="11"/>
        <item x="12"/>
        <item x="13"/>
        <item x="14"/>
        <item x="15"/>
        <item m="1" x="48"/>
        <item x="17"/>
        <item x="16"/>
        <item x="18"/>
        <item x="19"/>
        <item x="20"/>
        <item x="21"/>
        <item x="22"/>
        <item x="23"/>
        <item x="24"/>
        <item x="25"/>
        <item x="26"/>
        <item x="27"/>
        <item x="28"/>
        <item x="29"/>
        <item x="30"/>
        <item x="31"/>
        <item x="32"/>
        <item x="33"/>
        <item x="34"/>
        <item x="35"/>
        <item x="36"/>
        <item x="37"/>
        <item x="38"/>
        <item x="39"/>
        <item x="40"/>
        <item x="41"/>
        <item x="42"/>
        <item x="43"/>
        <item x="44"/>
        <item x="45"/>
        <item x="46"/>
        <item t="default"/>
      </items>
      <autoSortScope>
        <pivotArea dataOnly="0" outline="0" fieldPosition="0">
          <references count="1">
            <reference field="4294967294" count="1" selected="0">
              <x v="0"/>
            </reference>
          </references>
        </pivotArea>
      </autoSortScope>
    </pivotField>
    <pivotField axis="axisPage" multipleItemSelectionAllowed="1" showAll="0">
      <items count="13">
        <item x="0"/>
        <item x="3"/>
        <item x="1"/>
        <item h="1" x="2"/>
        <item h="1" x="11"/>
        <item x="4"/>
        <item x="5"/>
        <item x="6"/>
        <item x="7"/>
        <item x="8"/>
        <item x="9"/>
        <item x="10"/>
        <item t="default"/>
      </items>
    </pivotField>
    <pivotField showAll="0"/>
    <pivotField showAll="0"/>
    <pivotField showAll="0"/>
    <pivotField showAll="0"/>
    <pivotField dataField="1" showAll="0"/>
    <pivotField showAll="0"/>
    <pivotField showAll="0">
      <items count="4">
        <item x="1"/>
        <item x="0"/>
        <item x="2"/>
        <item t="default"/>
      </items>
    </pivotField>
    <pivotField showAll="0">
      <items count="15">
        <item x="0"/>
        <item x="1"/>
        <item x="2"/>
        <item x="3"/>
        <item x="4"/>
        <item x="5"/>
        <item x="6"/>
        <item x="7"/>
        <item x="8"/>
        <item x="9"/>
        <item x="10"/>
        <item x="11"/>
        <item x="12"/>
        <item x="13"/>
        <item t="default"/>
      </items>
    </pivotField>
  </pivotFields>
  <rowFields count="1">
    <field x="2"/>
  </rowFields>
  <rowItems count="46">
    <i>
      <x v="10"/>
    </i>
    <i>
      <x v="7"/>
    </i>
    <i>
      <x v="15"/>
    </i>
    <i>
      <x v="47"/>
    </i>
    <i>
      <x v="40"/>
    </i>
    <i>
      <x v="20"/>
    </i>
    <i>
      <x v="5"/>
    </i>
    <i>
      <x v="26"/>
    </i>
    <i>
      <x v="24"/>
    </i>
    <i>
      <x/>
    </i>
    <i>
      <x v="32"/>
    </i>
    <i>
      <x v="13"/>
    </i>
    <i>
      <x v="39"/>
    </i>
    <i>
      <x v="43"/>
    </i>
    <i>
      <x v="16"/>
    </i>
    <i>
      <x v="14"/>
    </i>
    <i>
      <x v="19"/>
    </i>
    <i>
      <x v="2"/>
    </i>
    <i>
      <x v="27"/>
    </i>
    <i>
      <x v="22"/>
    </i>
    <i>
      <x v="30"/>
    </i>
    <i>
      <x v="38"/>
    </i>
    <i>
      <x v="45"/>
    </i>
    <i>
      <x v="44"/>
    </i>
    <i>
      <x v="4"/>
    </i>
    <i>
      <x v="31"/>
    </i>
    <i>
      <x v="29"/>
    </i>
    <i>
      <x v="18"/>
    </i>
    <i>
      <x v="6"/>
    </i>
    <i>
      <x v="33"/>
    </i>
    <i>
      <x v="37"/>
    </i>
    <i>
      <x v="48"/>
    </i>
    <i>
      <x v="1"/>
    </i>
    <i>
      <x v="41"/>
    </i>
    <i>
      <x v="12"/>
    </i>
    <i>
      <x v="21"/>
    </i>
    <i>
      <x v="42"/>
    </i>
    <i>
      <x v="28"/>
    </i>
    <i>
      <x v="34"/>
    </i>
    <i>
      <x v="23"/>
    </i>
    <i>
      <x v="36"/>
    </i>
    <i>
      <x v="11"/>
    </i>
    <i>
      <x v="35"/>
    </i>
    <i>
      <x v="25"/>
    </i>
    <i>
      <x v="46"/>
    </i>
    <i>
      <x v="3"/>
    </i>
  </rowItems>
  <colItems count="1">
    <i/>
  </colItems>
  <pageFields count="1">
    <pageField fld="3" hier="-1"/>
  </pageFields>
  <dataFields count="1">
    <dataField name="Soma de Valor da Venda" fld="8" baseField="1" baseItem="0" numFmtId="165"/>
  </dataFields>
  <formats count="5">
    <format dxfId="80">
      <pivotArea type="all" dataOnly="0" outline="0" fieldPosition="0"/>
    </format>
    <format dxfId="79">
      <pivotArea outline="0" collapsedLevelsAreSubtotals="1" fieldPosition="0"/>
    </format>
    <format dxfId="78">
      <pivotArea field="2" type="button" dataOnly="0" labelOnly="1" outline="0" axis="axisRow" fieldPosition="0"/>
    </format>
    <format dxfId="77">
      <pivotArea dataOnly="0" labelOnly="1" fieldPosition="0">
        <references count="1">
          <reference field="2" count="35">
            <x v="0"/>
            <x v="1"/>
            <x v="2"/>
            <x v="3"/>
            <x v="4"/>
            <x v="5"/>
            <x v="6"/>
            <x v="7"/>
            <x v="10"/>
            <x v="11"/>
            <x v="12"/>
            <x v="13"/>
            <x v="14"/>
            <x v="15"/>
            <x v="16"/>
            <x v="18"/>
            <x v="19"/>
            <x v="20"/>
            <x v="21"/>
            <x v="22"/>
            <x v="23"/>
            <x v="24"/>
            <x v="25"/>
            <x v="26"/>
            <x v="27"/>
            <x v="28"/>
            <x v="29"/>
            <x v="30"/>
            <x v="31"/>
            <x v="32"/>
            <x v="33"/>
            <x v="34"/>
            <x v="35"/>
            <x v="36"/>
            <x v="37"/>
          </reference>
        </references>
      </pivotArea>
    </format>
    <format dxfId="76">
      <pivotArea dataOnly="0" labelOnly="1" outline="0" axis="axisValues"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000-000008000000}" name="Tabela dinâmica7"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15">
  <location ref="W3:X30" firstHeaderRow="1" firstDataRow="1" firstDataCol="1"/>
  <pivotFields count="24">
    <pivotField compact="0" outline="0" showAll="0" defaultSubtotal="0">
      <items count="5">
        <item x="0"/>
        <item x="2"/>
        <item x="1"/>
        <item m="1" x="4"/>
        <item x="3"/>
      </items>
    </pivotField>
    <pivotField axis="axisRow" compact="0" outline="0" showAll="0" defaultSubtotal="0">
      <items count="36">
        <item m="1" x="28"/>
        <item x="1"/>
        <item x="26"/>
        <item x="2"/>
        <item m="1" x="34"/>
        <item m="1" x="31"/>
        <item m="1" x="30"/>
        <item x="8"/>
        <item m="1" x="29"/>
        <item x="23"/>
        <item m="1" x="27"/>
        <item x="25"/>
        <item x="0"/>
        <item m="1" x="32"/>
        <item x="22"/>
        <item x="24"/>
        <item m="1" x="35"/>
        <item x="5"/>
        <item m="1" x="33"/>
        <item x="3"/>
        <item x="4"/>
        <item x="6"/>
        <item x="7"/>
        <item x="9"/>
        <item x="10"/>
        <item x="11"/>
        <item x="12"/>
        <item x="13"/>
        <item x="14"/>
        <item x="15"/>
        <item x="16"/>
        <item x="17"/>
        <item x="18"/>
        <item x="19"/>
        <item x="20"/>
        <item x="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dataField="1"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dragToRow="0" dragToCol="0" dragToPage="0" showAll="0" defaultSubtotal="0"/>
    <pivotField compact="0" outline="0" subtotalTop="0" dragToRow="0" dragToCol="0" dragToPage="0" showAll="0" defaultSubtotal="0"/>
  </pivotFields>
  <rowFields count="1">
    <field x="1"/>
  </rowFields>
  <rowItems count="27">
    <i>
      <x v="1"/>
    </i>
    <i>
      <x v="2"/>
    </i>
    <i>
      <x v="3"/>
    </i>
    <i>
      <x v="7"/>
    </i>
    <i>
      <x v="9"/>
    </i>
    <i>
      <x v="11"/>
    </i>
    <i>
      <x v="12"/>
    </i>
    <i>
      <x v="14"/>
    </i>
    <i>
      <x v="15"/>
    </i>
    <i>
      <x v="17"/>
    </i>
    <i>
      <x v="19"/>
    </i>
    <i>
      <x v="20"/>
    </i>
    <i>
      <x v="21"/>
    </i>
    <i>
      <x v="22"/>
    </i>
    <i>
      <x v="23"/>
    </i>
    <i>
      <x v="24"/>
    </i>
    <i>
      <x v="25"/>
    </i>
    <i>
      <x v="26"/>
    </i>
    <i>
      <x v="27"/>
    </i>
    <i>
      <x v="28"/>
    </i>
    <i>
      <x v="29"/>
    </i>
    <i>
      <x v="30"/>
    </i>
    <i>
      <x v="31"/>
    </i>
    <i>
      <x v="32"/>
    </i>
    <i>
      <x v="33"/>
    </i>
    <i>
      <x v="34"/>
    </i>
    <i>
      <x v="35"/>
    </i>
  </rowItems>
  <colItems count="1">
    <i/>
  </colItems>
  <dataFields count="1">
    <dataField name="Soma de Rendimento Brigadeiros" fld="10" baseField="1" baseItem="11" numFmtId="1"/>
  </dataFields>
  <formats count="17">
    <format dxfId="97">
      <pivotArea type="all" dataOnly="0" outline="0" fieldPosition="0"/>
    </format>
    <format dxfId="96">
      <pivotArea outline="0" collapsedLevelsAreSubtotals="1" fieldPosition="0"/>
    </format>
    <format dxfId="95">
      <pivotArea field="1" type="button" dataOnly="0" labelOnly="1" outline="0" axis="axisRow" fieldPosition="0"/>
    </format>
    <format dxfId="94">
      <pivotArea dataOnly="0" labelOnly="1" outline="0" fieldPosition="0">
        <references count="1">
          <reference field="1" count="0"/>
        </references>
      </pivotArea>
    </format>
    <format dxfId="93">
      <pivotArea dataOnly="0" labelOnly="1" grandRow="1" outline="0" fieldPosition="0"/>
    </format>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outline="0" fieldPosition="0">
        <references count="1">
          <reference field="1" count="0"/>
        </references>
      </pivotArea>
    </format>
    <format dxfId="88">
      <pivotArea dataOnly="0" labelOnly="1" grandRow="1" outline="0" fieldPosition="0"/>
    </format>
    <format dxfId="87">
      <pivotArea outline="0" fieldPosition="0">
        <references count="1">
          <reference field="1" count="1" selected="0">
            <x v="11"/>
          </reference>
        </references>
      </pivotArea>
    </format>
    <format dxfId="86">
      <pivotArea outline="0" fieldPosition="0">
        <references count="1">
          <reference field="4294967294" count="1">
            <x v="0"/>
          </reference>
        </references>
      </pivotArea>
    </format>
    <format dxfId="85">
      <pivotArea type="all" dataOnly="0" outline="0" fieldPosition="0"/>
    </format>
    <format dxfId="84">
      <pivotArea outline="0" collapsedLevelsAreSubtotals="1" fieldPosition="0"/>
    </format>
    <format dxfId="83">
      <pivotArea field="1" type="button" dataOnly="0" labelOnly="1" outline="0" axis="axisRow" fieldPosition="0"/>
    </format>
    <format dxfId="82">
      <pivotArea dataOnly="0" labelOnly="1" outline="0" fieldPosition="0">
        <references count="1">
          <reference field="1" count="0"/>
        </references>
      </pivotArea>
    </format>
    <format dxfId="81">
      <pivotArea dataOnly="0" labelOnly="1" outline="0" axis="axisValues" fieldPosition="0"/>
    </format>
  </formats>
  <chartFormats count="1">
    <chartFormat chart="1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4"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5">
  <location ref="AF3:AG30" firstHeaderRow="1" firstDataRow="1" firstDataCol="1"/>
  <pivotFields count="24">
    <pivotField compact="0" outline="0" showAll="0" defaultSubtotal="0">
      <items count="5">
        <item x="0"/>
        <item x="2"/>
        <item x="1"/>
        <item m="1" x="4"/>
        <item x="3"/>
      </items>
    </pivotField>
    <pivotField axis="axisRow" compact="0" outline="0" showAll="0" defaultSubtotal="0">
      <items count="36">
        <item m="1" x="28"/>
        <item x="1"/>
        <item x="26"/>
        <item x="2"/>
        <item m="1" x="34"/>
        <item m="1" x="31"/>
        <item m="1" x="30"/>
        <item x="8"/>
        <item m="1" x="29"/>
        <item x="23"/>
        <item m="1" x="27"/>
        <item x="25"/>
        <item x="0"/>
        <item m="1" x="32"/>
        <item x="22"/>
        <item x="24"/>
        <item m="1" x="35"/>
        <item x="5"/>
        <item m="1" x="33"/>
        <item x="3"/>
        <item x="4"/>
        <item x="6"/>
        <item x="7"/>
        <item x="9"/>
        <item x="10"/>
        <item x="11"/>
        <item x="12"/>
        <item x="13"/>
        <item x="14"/>
        <item x="15"/>
        <item x="16"/>
        <item x="17"/>
        <item x="18"/>
        <item x="19"/>
        <item x="20"/>
        <item x="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dragToRow="0" dragToCol="0" dragToPage="0" showAll="0" defaultSubtotal="0"/>
    <pivotField compact="0" outline="0" subtotalTop="0" dragToRow="0" dragToCol="0" dragToPage="0" showAll="0" defaultSubtotal="0"/>
  </pivotFields>
  <rowFields count="1">
    <field x="1"/>
  </rowFields>
  <rowItems count="27">
    <i>
      <x v="1"/>
    </i>
    <i>
      <x v="2"/>
    </i>
    <i>
      <x v="3"/>
    </i>
    <i>
      <x v="7"/>
    </i>
    <i>
      <x v="9"/>
    </i>
    <i>
      <x v="11"/>
    </i>
    <i>
      <x v="12"/>
    </i>
    <i>
      <x v="14"/>
    </i>
    <i>
      <x v="15"/>
    </i>
    <i>
      <x v="17"/>
    </i>
    <i>
      <x v="19"/>
    </i>
    <i>
      <x v="20"/>
    </i>
    <i>
      <x v="21"/>
    </i>
    <i>
      <x v="22"/>
    </i>
    <i>
      <x v="23"/>
    </i>
    <i>
      <x v="24"/>
    </i>
    <i>
      <x v="25"/>
    </i>
    <i>
      <x v="26"/>
    </i>
    <i>
      <x v="27"/>
    </i>
    <i>
      <x v="28"/>
    </i>
    <i>
      <x v="29"/>
    </i>
    <i>
      <x v="30"/>
    </i>
    <i>
      <x v="31"/>
    </i>
    <i>
      <x v="32"/>
    </i>
    <i>
      <x v="33"/>
    </i>
    <i>
      <x v="34"/>
    </i>
    <i>
      <x v="35"/>
    </i>
  </rowItems>
  <colItems count="1">
    <i/>
  </colItems>
  <dataFields count="1">
    <dataField name="Soma de Valor Venda" fld="17" baseField="1" baseItem="0" numFmtId="165"/>
  </dataFields>
  <formats count="16">
    <format dxfId="113">
      <pivotArea type="all" dataOnly="0" outline="0" fieldPosition="0"/>
    </format>
    <format dxfId="112">
      <pivotArea outline="0" collapsedLevelsAreSubtotals="1" fieldPosition="0"/>
    </format>
    <format dxfId="111">
      <pivotArea field="1" type="button" dataOnly="0" labelOnly="1" outline="0" axis="axisRow" fieldPosition="0"/>
    </format>
    <format dxfId="110">
      <pivotArea dataOnly="0" labelOnly="1" outline="0" fieldPosition="0">
        <references count="1">
          <reference field="1" count="0"/>
        </references>
      </pivotArea>
    </format>
    <format dxfId="109">
      <pivotArea dataOnly="0" labelOnly="1" grandRow="1" outline="0" fieldPosition="0"/>
    </format>
    <format dxfId="108">
      <pivotArea type="all" dataOnly="0" outline="0" fieldPosition="0"/>
    </format>
    <format dxfId="107">
      <pivotArea outline="0" collapsedLevelsAreSubtotals="1" fieldPosition="0"/>
    </format>
    <format dxfId="106">
      <pivotArea field="1" type="button" dataOnly="0" labelOnly="1" outline="0" axis="axisRow" fieldPosition="0"/>
    </format>
    <format dxfId="105">
      <pivotArea dataOnly="0" labelOnly="1" outline="0" fieldPosition="0">
        <references count="1">
          <reference field="1" count="0"/>
        </references>
      </pivotArea>
    </format>
    <format dxfId="104">
      <pivotArea dataOnly="0" labelOnly="1" grandRow="1" outline="0" fieldPosition="0"/>
    </format>
    <format dxfId="103">
      <pivotArea outline="0" fieldPosition="0">
        <references count="1">
          <reference field="4294967294" count="1">
            <x v="0"/>
          </reference>
        </references>
      </pivotArea>
    </format>
    <format dxfId="102">
      <pivotArea type="all" dataOnly="0" outline="0" fieldPosition="0"/>
    </format>
    <format dxfId="101">
      <pivotArea outline="0" collapsedLevelsAreSubtotals="1" fieldPosition="0"/>
    </format>
    <format dxfId="100">
      <pivotArea field="1" type="button" dataOnly="0" labelOnly="1" outline="0" axis="axisRow" fieldPosition="0"/>
    </format>
    <format dxfId="99">
      <pivotArea dataOnly="0" labelOnly="1" outline="0" fieldPosition="0">
        <references count="1">
          <reference field="1" count="0"/>
        </references>
      </pivotArea>
    </format>
    <format dxfId="98">
      <pivotArea dataOnly="0" labelOnly="1" outline="0" axis="axisValues" fieldPosition="0"/>
    </format>
  </formats>
  <chartFormats count="2">
    <chartFormat chart="3"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Tabela dinâmica5"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7">
  <location ref="AL3:AM30" firstHeaderRow="1" firstDataRow="1" firstDataCol="1"/>
  <pivotFields count="24">
    <pivotField compact="0" outline="0" showAll="0" defaultSubtotal="0">
      <items count="5">
        <item x="0"/>
        <item x="2"/>
        <item x="1"/>
        <item m="1" x="4"/>
        <item x="3"/>
      </items>
    </pivotField>
    <pivotField axis="axisRow" compact="0" outline="0" showAll="0" defaultSubtotal="0">
      <items count="36">
        <item m="1" x="28"/>
        <item x="1"/>
        <item x="26"/>
        <item x="2"/>
        <item m="1" x="34"/>
        <item m="1" x="31"/>
        <item m="1" x="30"/>
        <item x="8"/>
        <item m="1" x="29"/>
        <item x="23"/>
        <item m="1" x="27"/>
        <item x="25"/>
        <item x="0"/>
        <item m="1" x="32"/>
        <item x="22"/>
        <item x="24"/>
        <item m="1" x="35"/>
        <item x="5"/>
        <item m="1" x="33"/>
        <item x="3"/>
        <item x="4"/>
        <item x="6"/>
        <item x="7"/>
        <item x="9"/>
        <item x="10"/>
        <item x="11"/>
        <item x="12"/>
        <item x="13"/>
        <item x="14"/>
        <item x="15"/>
        <item x="16"/>
        <item x="17"/>
        <item x="18"/>
        <item x="19"/>
        <item x="20"/>
        <item x="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 compact="0" outline="0" subtotalTop="0" dragToRow="0" dragToCol="0" dragToPage="0" showAll="0" defaultSubtotal="0"/>
    <pivotField compact="0" outline="0" subtotalTop="0" dragToRow="0" dragToCol="0" dragToPage="0" showAll="0" defaultSubtotal="0"/>
  </pivotFields>
  <rowFields count="1">
    <field x="1"/>
  </rowFields>
  <rowItems count="27">
    <i>
      <x v="1"/>
    </i>
    <i>
      <x v="2"/>
    </i>
    <i>
      <x v="3"/>
    </i>
    <i>
      <x v="7"/>
    </i>
    <i>
      <x v="9"/>
    </i>
    <i>
      <x v="11"/>
    </i>
    <i>
      <x v="12"/>
    </i>
    <i>
      <x v="14"/>
    </i>
    <i>
      <x v="15"/>
    </i>
    <i>
      <x v="17"/>
    </i>
    <i>
      <x v="19"/>
    </i>
    <i>
      <x v="20"/>
    </i>
    <i>
      <x v="21"/>
    </i>
    <i>
      <x v="22"/>
    </i>
    <i>
      <x v="23"/>
    </i>
    <i>
      <x v="24"/>
    </i>
    <i>
      <x v="25"/>
    </i>
    <i>
      <x v="26"/>
    </i>
    <i>
      <x v="27"/>
    </i>
    <i>
      <x v="28"/>
    </i>
    <i>
      <x v="29"/>
    </i>
    <i>
      <x v="30"/>
    </i>
    <i>
      <x v="31"/>
    </i>
    <i>
      <x v="32"/>
    </i>
    <i>
      <x v="33"/>
    </i>
    <i>
      <x v="34"/>
    </i>
    <i>
      <x v="35"/>
    </i>
  </rowItems>
  <colItems count="1">
    <i/>
  </colItems>
  <dataFields count="1">
    <dataField name="Soma de Lucro Total" fld="21" baseField="1" baseItem="0" numFmtId="165"/>
  </dataFields>
  <formats count="16">
    <format dxfId="129">
      <pivotArea type="all" dataOnly="0" outline="0" fieldPosition="0"/>
    </format>
    <format dxfId="128">
      <pivotArea outline="0" collapsedLevelsAreSubtotals="1" fieldPosition="0"/>
    </format>
    <format dxfId="127">
      <pivotArea field="1" type="button" dataOnly="0" labelOnly="1" outline="0" axis="axisRow" fieldPosition="0"/>
    </format>
    <format dxfId="126">
      <pivotArea dataOnly="0" labelOnly="1" outline="0" fieldPosition="0">
        <references count="1">
          <reference field="1" count="0"/>
        </references>
      </pivotArea>
    </format>
    <format dxfId="125">
      <pivotArea dataOnly="0" labelOnly="1" grandRow="1" outline="0" fieldPosition="0"/>
    </format>
    <format dxfId="124">
      <pivotArea type="all" dataOnly="0" outline="0" fieldPosition="0"/>
    </format>
    <format dxfId="123">
      <pivotArea outline="0" collapsedLevelsAreSubtotals="1" fieldPosition="0"/>
    </format>
    <format dxfId="122">
      <pivotArea field="1" type="button" dataOnly="0" labelOnly="1" outline="0" axis="axisRow" fieldPosition="0"/>
    </format>
    <format dxfId="121">
      <pivotArea dataOnly="0" labelOnly="1" outline="0" fieldPosition="0">
        <references count="1">
          <reference field="1" count="0"/>
        </references>
      </pivotArea>
    </format>
    <format dxfId="120">
      <pivotArea dataOnly="0" labelOnly="1" grandRow="1" outline="0" fieldPosition="0"/>
    </format>
    <format dxfId="119">
      <pivotArea outline="0" fieldPosition="0">
        <references count="1">
          <reference field="4294967294" count="1">
            <x v="0"/>
          </reference>
        </references>
      </pivotArea>
    </format>
    <format dxfId="118">
      <pivotArea type="all" dataOnly="0" outline="0" fieldPosition="0"/>
    </format>
    <format dxfId="117">
      <pivotArea outline="0" collapsedLevelsAreSubtotals="1" fieldPosition="0"/>
    </format>
    <format dxfId="116">
      <pivotArea field="1" type="button" dataOnly="0" labelOnly="1" outline="0" axis="axisRow" fieldPosition="0"/>
    </format>
    <format dxfId="115">
      <pivotArea dataOnly="0" labelOnly="1" outline="0" fieldPosition="0">
        <references count="1">
          <reference field="1" count="0"/>
        </references>
      </pivotArea>
    </format>
    <format dxfId="114">
      <pivotArea dataOnly="0" labelOnly="1" outline="0" axis="axisValues" fieldPosition="0"/>
    </format>
  </formats>
  <chartFormats count="2">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000-000009000000}" name="Tabela dinâmica6"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5">
  <location ref="AI3:AJ30" firstHeaderRow="1" firstDataRow="1" firstDataCol="1"/>
  <pivotFields count="24">
    <pivotField compact="0" outline="0" showAll="0" defaultSubtotal="0">
      <items count="5">
        <item x="0"/>
        <item x="2"/>
        <item x="1"/>
        <item m="1" x="4"/>
        <item x="3"/>
      </items>
    </pivotField>
    <pivotField axis="axisRow" compact="0" outline="0" showAll="0" defaultSubtotal="0">
      <items count="36">
        <item m="1" x="28"/>
        <item x="1"/>
        <item x="26"/>
        <item x="2"/>
        <item m="1" x="34"/>
        <item m="1" x="31"/>
        <item m="1" x="30"/>
        <item x="8"/>
        <item m="1" x="29"/>
        <item x="23"/>
        <item m="1" x="27"/>
        <item x="25"/>
        <item x="0"/>
        <item m="1" x="32"/>
        <item x="22"/>
        <item x="24"/>
        <item m="1" x="35"/>
        <item x="5"/>
        <item m="1" x="33"/>
        <item x="3"/>
        <item x="4"/>
        <item x="6"/>
        <item x="7"/>
        <item x="9"/>
        <item x="10"/>
        <item x="11"/>
        <item x="12"/>
        <item x="13"/>
        <item x="14"/>
        <item x="15"/>
        <item x="16"/>
        <item x="17"/>
        <item x="18"/>
        <item x="19"/>
        <item x="20"/>
        <item x="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dragToRow="0" dragToCol="0" dragToPage="0" showAll="0" defaultSubtotal="0"/>
    <pivotField compact="0" outline="0" subtotalTop="0" dragToRow="0" dragToCol="0" dragToPage="0" showAll="0" defaultSubtotal="0"/>
  </pivotFields>
  <rowFields count="1">
    <field x="1"/>
  </rowFields>
  <rowItems count="27">
    <i>
      <x v="1"/>
    </i>
    <i>
      <x v="2"/>
    </i>
    <i>
      <x v="3"/>
    </i>
    <i>
      <x v="7"/>
    </i>
    <i>
      <x v="9"/>
    </i>
    <i>
      <x v="11"/>
    </i>
    <i>
      <x v="12"/>
    </i>
    <i>
      <x v="14"/>
    </i>
    <i>
      <x v="15"/>
    </i>
    <i>
      <x v="17"/>
    </i>
    <i>
      <x v="19"/>
    </i>
    <i>
      <x v="20"/>
    </i>
    <i>
      <x v="21"/>
    </i>
    <i>
      <x v="22"/>
    </i>
    <i>
      <x v="23"/>
    </i>
    <i>
      <x v="24"/>
    </i>
    <i>
      <x v="25"/>
    </i>
    <i>
      <x v="26"/>
    </i>
    <i>
      <x v="27"/>
    </i>
    <i>
      <x v="28"/>
    </i>
    <i>
      <x v="29"/>
    </i>
    <i>
      <x v="30"/>
    </i>
    <i>
      <x v="31"/>
    </i>
    <i>
      <x v="32"/>
    </i>
    <i>
      <x v="33"/>
    </i>
    <i>
      <x v="34"/>
    </i>
    <i>
      <x v="35"/>
    </i>
  </rowItems>
  <colItems count="1">
    <i/>
  </colItems>
  <dataFields count="1">
    <dataField name="Soma de Valor Total Unitario dos brigadeiros" fld="16" baseField="1" baseItem="11" numFmtId="165"/>
  </dataFields>
  <formats count="16">
    <format dxfId="145">
      <pivotArea type="all" dataOnly="0" outline="0" fieldPosition="0"/>
    </format>
    <format dxfId="144">
      <pivotArea outline="0" collapsedLevelsAreSubtotals="1" fieldPosition="0"/>
    </format>
    <format dxfId="143">
      <pivotArea field="1" type="button" dataOnly="0" labelOnly="1" outline="0" axis="axisRow" fieldPosition="0"/>
    </format>
    <format dxfId="142">
      <pivotArea dataOnly="0" labelOnly="1" outline="0" fieldPosition="0">
        <references count="1">
          <reference field="1" count="0"/>
        </references>
      </pivotArea>
    </format>
    <format dxfId="141">
      <pivotArea dataOnly="0" labelOnly="1" grandRow="1" outline="0" fieldPosition="0"/>
    </format>
    <format dxfId="140">
      <pivotArea type="all" dataOnly="0" outline="0" fieldPosition="0"/>
    </format>
    <format dxfId="139">
      <pivotArea outline="0" collapsedLevelsAreSubtotals="1" fieldPosition="0"/>
    </format>
    <format dxfId="138">
      <pivotArea field="1" type="button" dataOnly="0" labelOnly="1" outline="0" axis="axisRow" fieldPosition="0"/>
    </format>
    <format dxfId="137">
      <pivotArea dataOnly="0" labelOnly="1" outline="0" fieldPosition="0">
        <references count="1">
          <reference field="1" count="0"/>
        </references>
      </pivotArea>
    </format>
    <format dxfId="136">
      <pivotArea dataOnly="0" labelOnly="1" grandRow="1" outline="0" fieldPosition="0"/>
    </format>
    <format dxfId="135">
      <pivotArea outline="0" fieldPosition="0">
        <references count="1">
          <reference field="4294967294" count="1">
            <x v="0"/>
          </reference>
        </references>
      </pivotArea>
    </format>
    <format dxfId="134">
      <pivotArea type="all" dataOnly="0" outline="0" fieldPosition="0"/>
    </format>
    <format dxfId="133">
      <pivotArea outline="0" collapsedLevelsAreSubtotals="1" fieldPosition="0"/>
    </format>
    <format dxfId="132">
      <pivotArea field="1" type="button" dataOnly="0" labelOnly="1" outline="0" axis="axisRow" fieldPosition="0"/>
    </format>
    <format dxfId="131">
      <pivotArea dataOnly="0" labelOnly="1" outline="0" fieldPosition="0">
        <references count="1">
          <reference field="1" count="0"/>
        </references>
      </pivotArea>
    </format>
    <format dxfId="1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Tabela dinâmica30"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6">
  <location ref="AO3:AP30" firstHeaderRow="1" firstDataRow="1" firstDataCol="1"/>
  <pivotFields count="24">
    <pivotField compact="0" outline="0" showAll="0" defaultSubtotal="0">
      <items count="5">
        <item x="0"/>
        <item x="2"/>
        <item x="1"/>
        <item m="1" x="4"/>
        <item x="3"/>
      </items>
    </pivotField>
    <pivotField axis="axisRow" compact="0" outline="0" showAll="0" defaultSubtotal="0">
      <items count="36">
        <item m="1" x="28"/>
        <item x="1"/>
        <item x="26"/>
        <item x="2"/>
        <item m="1" x="34"/>
        <item m="1" x="31"/>
        <item m="1" x="30"/>
        <item x="8"/>
        <item m="1" x="29"/>
        <item x="23"/>
        <item m="1" x="27"/>
        <item x="25"/>
        <item x="0"/>
        <item m="1" x="32"/>
        <item x="22"/>
        <item x="24"/>
        <item m="1" x="35"/>
        <item x="5"/>
        <item m="1" x="33"/>
        <item x="3"/>
        <item x="4"/>
        <item x="6"/>
        <item x="7"/>
        <item x="9"/>
        <item x="10"/>
        <item x="11"/>
        <item x="12"/>
        <item x="13"/>
        <item x="14"/>
        <item x="15"/>
        <item x="16"/>
        <item x="17"/>
        <item x="18"/>
        <item x="19"/>
        <item x="20"/>
        <item x="2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howAll="0" defaultSubtotal="0"/>
    <pivotField compact="0" outline="0" subtotalTop="0" dragToRow="0" dragToCol="0" dragToPage="0" showAll="0" defaultSubtotal="0"/>
    <pivotField compact="0" outline="0" subtotalTop="0" dragToRow="0" dragToCol="0" dragToPage="0" showAll="0" defaultSubtotal="0"/>
  </pivotFields>
  <rowFields count="1">
    <field x="1"/>
  </rowFields>
  <rowItems count="27">
    <i>
      <x v="1"/>
    </i>
    <i>
      <x v="2"/>
    </i>
    <i>
      <x v="3"/>
    </i>
    <i>
      <x v="7"/>
    </i>
    <i>
      <x v="9"/>
    </i>
    <i>
      <x v="11"/>
    </i>
    <i>
      <x v="12"/>
    </i>
    <i>
      <x v="14"/>
    </i>
    <i>
      <x v="15"/>
    </i>
    <i>
      <x v="17"/>
    </i>
    <i>
      <x v="19"/>
    </i>
    <i>
      <x v="20"/>
    </i>
    <i>
      <x v="21"/>
    </i>
    <i>
      <x v="22"/>
    </i>
    <i>
      <x v="23"/>
    </i>
    <i>
      <x v="24"/>
    </i>
    <i>
      <x v="25"/>
    </i>
    <i>
      <x v="26"/>
    </i>
    <i>
      <x v="27"/>
    </i>
    <i>
      <x v="28"/>
    </i>
    <i>
      <x v="29"/>
    </i>
    <i>
      <x v="30"/>
    </i>
    <i>
      <x v="31"/>
    </i>
    <i>
      <x v="32"/>
    </i>
    <i>
      <x v="33"/>
    </i>
    <i>
      <x v="34"/>
    </i>
    <i>
      <x v="35"/>
    </i>
  </rowItems>
  <colItems count="1">
    <i/>
  </colItems>
  <dataFields count="1">
    <dataField name="Soma de Margem lucro real" fld="20" baseField="0" baseItem="0" numFmtId="9"/>
  </dataFields>
  <formats count="14">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grandRow="1" outline="0" fieldPosition="0"/>
    </format>
    <format dxfId="155">
      <pivotArea type="all" dataOnly="0" outline="0" fieldPosition="0"/>
    </format>
    <format dxfId="154">
      <pivotArea outline="0" collapsedLevelsAreSubtotals="1" fieldPosition="0"/>
    </format>
    <format dxfId="153">
      <pivotArea field="1" type="button" dataOnly="0" labelOnly="1" outline="0" axis="axisRow" fieldPosition="0"/>
    </format>
    <format dxfId="152">
      <pivotArea dataOnly="0" labelOnly="1" grandRow="1" outline="0" fieldPosition="0"/>
    </format>
    <format dxfId="151">
      <pivotArea outline="0" fieldPosition="0">
        <references count="1">
          <reference field="4294967294" count="1">
            <x v="0"/>
          </reference>
        </references>
      </pivotArea>
    </format>
    <format dxfId="150">
      <pivotArea type="all" dataOnly="0" outline="0" fieldPosition="0"/>
    </format>
    <format dxfId="149">
      <pivotArea outline="0" collapsedLevelsAreSubtotals="1" fieldPosition="0"/>
    </format>
    <format dxfId="148">
      <pivotArea field="1" type="button" dataOnly="0" labelOnly="1" outline="0" axis="axisRow" fieldPosition="0"/>
    </format>
    <format dxfId="147">
      <pivotArea dataOnly="0" labelOnly="1" outline="0" fieldPosition="0">
        <references count="1">
          <reference field="1" count="0"/>
        </references>
      </pivotArea>
    </format>
    <format dxfId="1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F5BD95A-A4AB-4575-969A-39D9B9AB0073}" name="Tabela dinâmica13" cacheId="1"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8">
  <location ref="BA3:BB8" firstHeaderRow="1" firstDataRow="1" firstDataCol="1" rowPageCount="1" colPageCount="1"/>
  <pivotFields count="12">
    <pivotField compact="0" outline="0" showAll="0" defaultSubtotal="0">
      <items count="36">
        <item x="0"/>
        <item x="1"/>
        <item x="2"/>
        <item x="3"/>
        <item x="4"/>
        <item x="5"/>
        <item x="6"/>
        <item x="7"/>
        <item x="8"/>
        <item x="9"/>
        <item x="10"/>
        <item x="11"/>
        <item x="12"/>
        <item x="13"/>
        <item x="14"/>
        <item x="15"/>
        <item x="16"/>
        <item x="35"/>
        <item x="17"/>
        <item x="20"/>
        <item x="19"/>
        <item x="18"/>
        <item x="21"/>
        <item x="22"/>
        <item x="23"/>
        <item x="26"/>
        <item x="25"/>
        <item x="24"/>
        <item x="27"/>
        <item x="28"/>
        <item x="29"/>
        <item x="32"/>
        <item x="30"/>
        <item x="31"/>
        <item x="33"/>
        <item x="34"/>
      </items>
    </pivotField>
    <pivotField axis="axisRow" compact="0" outline="0" showAll="0" defaultSubtotal="0">
      <items count="6">
        <item x="0"/>
        <item x="1"/>
        <item x="2"/>
        <item x="5"/>
        <item x="3"/>
        <item x="4"/>
      </items>
    </pivotField>
    <pivotField compact="0" outline="0" showAll="0" defaultSubtotal="0"/>
    <pivotField axis="axisPage" compact="0" outline="0" multipleItemSelectionAllowed="1" showAll="0" defaultSubtotal="0">
      <items count="12">
        <item x="4"/>
        <item x="0"/>
        <item x="3"/>
        <item x="1"/>
        <item h="1" x="2"/>
        <item x="5"/>
        <item h="1" x="11"/>
        <item x="6"/>
        <item x="7"/>
        <item x="8"/>
        <item x="9"/>
        <item x="10"/>
      </items>
    </pivotField>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items count="3">
        <item x="1"/>
        <item x="0"/>
        <item x="2"/>
      </items>
    </pivotField>
    <pivotField compact="0" outline="0" showAll="0" defaultSubtotal="0">
      <items count="14">
        <item x="0"/>
        <item x="1"/>
        <item x="2"/>
        <item x="3"/>
        <item x="4"/>
        <item x="5"/>
        <item x="6"/>
        <item x="7"/>
        <item x="8"/>
        <item x="9"/>
        <item x="10"/>
        <item x="11"/>
        <item x="12"/>
        <item x="13"/>
      </items>
    </pivotField>
  </pivotFields>
  <rowFields count="1">
    <field x="1"/>
  </rowFields>
  <rowItems count="5">
    <i>
      <x/>
    </i>
    <i>
      <x v="1"/>
    </i>
    <i>
      <x v="2"/>
    </i>
    <i>
      <x v="4"/>
    </i>
    <i>
      <x v="5"/>
    </i>
  </rowItems>
  <colItems count="1">
    <i/>
  </colItems>
  <pageFields count="1">
    <pageField fld="3" hier="-1"/>
  </pageFields>
  <dataFields count="1">
    <dataField name="Soma de Quantidade" fld="7" baseField="1" baseItem="2" numFmtId="1"/>
  </dataFields>
  <formats count="5">
    <format dxfId="164">
      <pivotArea type="all" dataOnly="0" outline="0" fieldPosition="0"/>
    </format>
    <format dxfId="163">
      <pivotArea outline="0" collapsedLevelsAreSubtotals="1" fieldPosition="0"/>
    </format>
    <format dxfId="162">
      <pivotArea field="1" type="button" dataOnly="0" labelOnly="1" outline="0" axis="axisRow" fieldPosition="0"/>
    </format>
    <format dxfId="161">
      <pivotArea dataOnly="0" labelOnly="1" outline="0" fieldPosition="0">
        <references count="1">
          <reference field="1" count="3">
            <x v="0"/>
            <x v="1"/>
            <x v="2"/>
          </reference>
        </references>
      </pivotArea>
    </format>
    <format dxfId="160">
      <pivotArea dataOnly="0" labelOnly="1" outline="0" axis="axisValues"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C02AC41-A5E4-4B59-8123-44C7C81C45CD}" name="Tabela dinâmica12" cacheId="1"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6">
  <location ref="AX3:AY8" firstHeaderRow="1" firstDataRow="1" firstDataCol="1" rowPageCount="1" colPageCount="1"/>
  <pivotFields count="12">
    <pivotField compact="0" outline="0" showAll="0" defaultSubtotal="0">
      <items count="36">
        <item x="0"/>
        <item x="1"/>
        <item x="2"/>
        <item x="3"/>
        <item x="4"/>
        <item x="5"/>
        <item x="6"/>
        <item x="7"/>
        <item x="8"/>
        <item x="9"/>
        <item x="10"/>
        <item x="11"/>
        <item x="12"/>
        <item x="13"/>
        <item x="14"/>
        <item x="15"/>
        <item x="16"/>
        <item x="35"/>
        <item x="17"/>
        <item x="20"/>
        <item x="19"/>
        <item x="18"/>
        <item x="21"/>
        <item x="22"/>
        <item x="23"/>
        <item x="26"/>
        <item x="25"/>
        <item x="24"/>
        <item x="27"/>
        <item x="28"/>
        <item x="29"/>
        <item x="32"/>
        <item x="30"/>
        <item x="31"/>
        <item x="33"/>
        <item x="34"/>
      </items>
    </pivotField>
    <pivotField axis="axisRow" compact="0" outline="0" showAll="0" defaultSubtotal="0">
      <items count="6">
        <item x="0"/>
        <item x="1"/>
        <item x="2"/>
        <item x="5"/>
        <item x="3"/>
        <item x="4"/>
      </items>
    </pivotField>
    <pivotField compact="0" outline="0" showAll="0" defaultSubtotal="0"/>
    <pivotField axis="axisPage" compact="0" outline="0" multipleItemSelectionAllowed="1" showAll="0" defaultSubtotal="0">
      <items count="12">
        <item x="4"/>
        <item x="0"/>
        <item x="3"/>
        <item x="1"/>
        <item h="1" x="2"/>
        <item x="5"/>
        <item h="1" x="11"/>
        <item x="6"/>
        <item x="7"/>
        <item x="8"/>
        <item x="9"/>
        <item x="10"/>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items count="3">
        <item x="1"/>
        <item x="0"/>
        <item x="2"/>
      </items>
    </pivotField>
    <pivotField compact="0" outline="0" showAll="0" defaultSubtotal="0">
      <items count="14">
        <item x="0"/>
        <item x="1"/>
        <item x="2"/>
        <item x="3"/>
        <item x="4"/>
        <item x="5"/>
        <item x="6"/>
        <item x="7"/>
        <item x="8"/>
        <item x="9"/>
        <item x="10"/>
        <item x="11"/>
        <item x="12"/>
        <item x="13"/>
      </items>
    </pivotField>
  </pivotFields>
  <rowFields count="1">
    <field x="1"/>
  </rowFields>
  <rowItems count="5">
    <i>
      <x/>
    </i>
    <i>
      <x v="1"/>
    </i>
    <i>
      <x v="2"/>
    </i>
    <i>
      <x v="4"/>
    </i>
    <i>
      <x v="5"/>
    </i>
  </rowItems>
  <colItems count="1">
    <i/>
  </colItems>
  <pageFields count="1">
    <pageField fld="3" hier="-1"/>
  </pageFields>
  <dataFields count="1">
    <dataField name="Soma de Valor da Venda" fld="8" baseField="1" baseItem="2" numFmtId="165"/>
  </dataFields>
  <formats count="5">
    <format dxfId="169">
      <pivotArea type="all" dataOnly="0" outline="0" fieldPosition="0"/>
    </format>
    <format dxfId="168">
      <pivotArea outline="0" collapsedLevelsAreSubtotals="1" fieldPosition="0"/>
    </format>
    <format dxfId="167">
      <pivotArea field="1" type="button" dataOnly="0" labelOnly="1" outline="0" axis="axisRow" fieldPosition="0"/>
    </format>
    <format dxfId="166">
      <pivotArea dataOnly="0" labelOnly="1" outline="0" fieldPosition="0">
        <references count="1">
          <reference field="1" count="3">
            <x v="0"/>
            <x v="1"/>
            <x v="2"/>
          </reference>
        </references>
      </pivotArea>
    </format>
    <format dxfId="165">
      <pivotArea dataOnly="0" labelOnly="1" outline="0" axis="axisValues"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06E644A-8E03-4E73-ADF1-37BA48E8F827}" name="Tabela dinâmica2" cacheId="2"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multipleFieldFilters="0">
  <location ref="O2:P74" firstHeaderRow="1" firstDataRow="1" firstDataCol="1"/>
  <pivotFields count="5">
    <pivotField numFmtId="14" showAll="0"/>
    <pivotField axis="axisRow" multipleItemSelectionAllowed="1" showAll="0">
      <items count="74">
        <item x="11"/>
        <item x="31"/>
        <item x="32"/>
        <item x="6"/>
        <item x="16"/>
        <item x="5"/>
        <item x="33"/>
        <item x="14"/>
        <item x="4"/>
        <item x="34"/>
        <item x="0"/>
        <item x="15"/>
        <item x="29"/>
        <item x="25"/>
        <item x="18"/>
        <item x="30"/>
        <item x="28"/>
        <item x="2"/>
        <item x="3"/>
        <item x="17"/>
        <item x="19"/>
        <item x="22"/>
        <item x="7"/>
        <item x="21"/>
        <item x="26"/>
        <item x="8"/>
        <item x="13"/>
        <item x="9"/>
        <item x="23"/>
        <item x="1"/>
        <item x="12"/>
        <item x="20"/>
        <item x="24"/>
        <item x="10"/>
        <item x="27"/>
        <item x="71"/>
        <item x="35"/>
        <item x="36"/>
        <item x="37"/>
        <item x="38"/>
        <item x="40"/>
        <item x="41"/>
        <item x="42"/>
        <item x="43"/>
        <item x="46"/>
        <item x="47"/>
        <item x="45"/>
        <item x="50"/>
        <item x="59"/>
        <item x="49"/>
        <item x="48"/>
        <item x="39"/>
        <item x="51"/>
        <item x="52"/>
        <item x="53"/>
        <item x="55"/>
        <item x="56"/>
        <item x="58"/>
        <item x="60"/>
        <item x="61"/>
        <item x="54"/>
        <item x="57"/>
        <item x="67"/>
        <item x="68"/>
        <item x="69"/>
        <item x="70"/>
        <item m="1" x="72"/>
        <item x="65"/>
        <item x="66"/>
        <item x="44"/>
        <item x="62"/>
        <item x="63"/>
        <item x="64"/>
        <item t="default"/>
      </items>
    </pivotField>
    <pivotField showAll="0"/>
    <pivotField multipleItemSelectionAllowed="1" showAll="0"/>
    <pivotField dataField="1" numFmtId="164" showAll="0"/>
  </pivotFields>
  <rowFields count="1">
    <field x="1"/>
  </rowFields>
  <rowItems count="7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7"/>
    </i>
    <i>
      <x v="68"/>
    </i>
    <i>
      <x v="69"/>
    </i>
    <i>
      <x v="70"/>
    </i>
    <i>
      <x v="71"/>
    </i>
    <i>
      <x v="72"/>
    </i>
  </rowItems>
  <colItems count="1">
    <i/>
  </colItems>
  <dataFields count="1">
    <dataField name="Soma de Valor" fld="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580B973-4D7A-432D-B12B-AA02E5A43705}" name="Tabela dinâmica1" cacheId="2"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multipleFieldFilters="0">
  <location ref="F1:G11" firstHeaderRow="1" firstDataRow="1" firstDataCol="1"/>
  <pivotFields count="5">
    <pivotField numFmtId="14" showAll="0"/>
    <pivotField showAll="0"/>
    <pivotField axis="axisRow" showAll="0">
      <items count="4">
        <item x="1"/>
        <item x="0"/>
        <item x="2"/>
        <item t="default"/>
      </items>
    </pivotField>
    <pivotField axis="axisRow" showAll="0">
      <items count="8">
        <item x="2"/>
        <item x="3"/>
        <item x="4"/>
        <item x="0"/>
        <item x="1"/>
        <item x="6"/>
        <item x="5"/>
        <item t="default"/>
      </items>
    </pivotField>
    <pivotField dataField="1" numFmtId="164" showAll="0"/>
  </pivotFields>
  <rowFields count="2">
    <field x="2"/>
    <field x="3"/>
  </rowFields>
  <rowItems count="10">
    <i>
      <x/>
    </i>
    <i r="1">
      <x v="2"/>
    </i>
    <i r="1">
      <x v="6"/>
    </i>
    <i>
      <x v="1"/>
    </i>
    <i r="1">
      <x/>
    </i>
    <i r="1">
      <x v="1"/>
    </i>
    <i r="1">
      <x v="3"/>
    </i>
    <i r="1">
      <x v="4"/>
    </i>
    <i>
      <x v="2"/>
    </i>
    <i r="1">
      <x v="5"/>
    </i>
  </rowItems>
  <colItems count="1">
    <i/>
  </colItems>
  <dataFields count="1">
    <dataField name="Soma de Valor" fld="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40EBA75-5D8D-40D8-842C-403FDF7B5E4D}" name="Tabela dinâmica3" cacheId="2"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multipleFieldFilters="0">
  <location ref="R2:S9" firstHeaderRow="1" firstDataRow="1" firstDataCol="1"/>
  <pivotFields count="5">
    <pivotField numFmtId="14" showAll="0"/>
    <pivotField multipleItemSelectionAllowed="1" showAll="0"/>
    <pivotField showAll="0"/>
    <pivotField axis="axisRow" multipleItemSelectionAllowed="1" showAll="0">
      <items count="8">
        <item x="2"/>
        <item x="3"/>
        <item x="4"/>
        <item x="0"/>
        <item x="1"/>
        <item x="6"/>
        <item x="5"/>
        <item t="default"/>
      </items>
    </pivotField>
    <pivotField dataField="1" numFmtId="164" showAll="0"/>
  </pivotFields>
  <rowFields count="1">
    <field x="3"/>
  </rowFields>
  <rowItems count="7">
    <i>
      <x/>
    </i>
    <i>
      <x v="1"/>
    </i>
    <i>
      <x v="2"/>
    </i>
    <i>
      <x v="3"/>
    </i>
    <i>
      <x v="4"/>
    </i>
    <i>
      <x v="5"/>
    </i>
    <i>
      <x v="6"/>
    </i>
  </rowItems>
  <colItems count="1">
    <i/>
  </colItems>
  <dataFields count="1">
    <dataField name="Soma de Valor" fld="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roduto1" xr10:uid="{00000000-0013-0000-FFFF-FFFF01000000}" sourceName="Produto">
  <pivotTables>
    <pivotTable tabId="27" name="Tabela dinâmica3"/>
    <pivotTable tabId="27" name="Tabela dinâmica4"/>
    <pivotTable tabId="27" name="Tabela dinâmica5"/>
    <pivotTable tabId="27" name="Tabela dinâmica30"/>
    <pivotTable tabId="27" name="Tabela dinâmica6"/>
    <pivotTable tabId="27" name="Tabela dinâmica7"/>
    <pivotTable tabId="27" name="Tabela dinâmica8"/>
  </pivotTables>
  <data>
    <tabular pivotCacheId="743088461">
      <items count="36">
        <i x="4" s="1"/>
        <i x="3" s="1"/>
        <i x="14" s="1"/>
        <i x="11" s="1"/>
        <i x="21" s="1"/>
        <i x="7" s="1"/>
        <i x="10" s="1"/>
        <i x="9" s="1"/>
        <i x="5" s="1"/>
        <i x="18" s="1"/>
        <i x="19" s="1"/>
        <i x="20" s="1"/>
        <i x="6" s="1"/>
        <i x="0" s="1"/>
        <i x="15" s="1"/>
        <i x="13" s="1"/>
        <i x="16" s="1"/>
        <i x="1" s="1"/>
        <i x="8" s="1"/>
        <i x="2" s="1"/>
        <i x="12" s="1"/>
        <i x="17" s="1"/>
        <i x="25" s="1"/>
        <i x="23" s="1"/>
        <i x="24" s="1"/>
        <i x="22" s="1"/>
        <i x="33" s="1" nd="1"/>
        <i x="35" s="1" nd="1"/>
        <i x="32" s="1" nd="1"/>
        <i x="31" s="1" nd="1"/>
        <i x="30" s="1" nd="1"/>
        <i x="34" s="1" nd="1"/>
        <i x="28" s="1" nd="1"/>
        <i x="29" s="1" nd="1"/>
        <i x="27" s="1" nd="1"/>
        <i x="26"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Nome" xr10:uid="{00000000-0013-0000-FFFF-FFFF02000000}" sourceName="Nome">
  <pivotTables>
    <pivotTable tabId="27" name="Tabela dinâmica28"/>
    <pivotTable tabId="27" name="Tabela dinâmica29"/>
    <pivotTable tabId="27" name="Tabela dinâmica1"/>
    <pivotTable tabId="27" name="Tabela dinâmica2"/>
  </pivotTables>
  <data>
    <tabular pivotCacheId="2013486785">
      <items count="49">
        <i x="23" s="1"/>
        <i x="6" s="1"/>
        <i x="24" s="1"/>
        <i x="16" s="1"/>
        <i x="32" s="1"/>
        <i x="2" s="1"/>
        <i x="17" s="1"/>
        <i x="1" s="1"/>
        <i x="46" s="1"/>
        <i x="43" s="1"/>
        <i x="13" s="1"/>
        <i x="38" s="1"/>
        <i x="12" s="1"/>
        <i x="42" s="1"/>
        <i x="21" s="1"/>
        <i x="15" s="1"/>
        <i x="26" s="1"/>
        <i x="37" s="1"/>
        <i x="33" s="1"/>
        <i x="22" s="1"/>
        <i x="4" s="1"/>
        <i x="14" s="1"/>
        <i x="20" s="1"/>
        <i x="40" s="1"/>
        <i x="8" s="1"/>
        <i x="31" s="1"/>
        <i x="44" s="1"/>
        <i x="28" s="1"/>
        <i x="41" s="1"/>
        <i x="7" s="1"/>
        <i x="39" s="1"/>
        <i x="30" s="1"/>
        <i x="34" s="1"/>
        <i x="0" s="1"/>
        <i x="19" s="1"/>
        <i x="3" s="1"/>
        <i x="29" s="1"/>
        <i x="5" s="1"/>
        <i x="18" s="1"/>
        <i x="27" s="1"/>
        <i x="45" s="1"/>
        <i x="35" s="1"/>
        <i x="25" s="1"/>
        <i x="36" s="1"/>
        <i x="11" s="1"/>
        <i x="9" s="1"/>
        <i x="10" s="1"/>
        <i x="48" s="1" nd="1"/>
        <i x="4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ategoria1" xr10:uid="{00000000-0013-0000-FFFF-FFFF03000000}" sourceName="Categoria">
  <pivotTables>
    <pivotTable tabId="27" name="Tabela dinâmica3"/>
    <pivotTable tabId="27" name="Tabela dinâmica4"/>
    <pivotTable tabId="27" name="Tabela dinâmica5"/>
    <pivotTable tabId="27" name="Tabela dinâmica30"/>
    <pivotTable tabId="27" name="Tabela dinâmica6"/>
    <pivotTable tabId="27" name="Tabela dinâmica7"/>
    <pivotTable tabId="27" name="Tabela dinâmica8"/>
  </pivotTables>
  <data>
    <tabular pivotCacheId="743088461">
      <items count="5">
        <i x="0" s="1"/>
        <i x="2" s="1"/>
        <i x="1" s="1"/>
        <i x="4"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 xr10:uid="{3A487024-333D-453C-88D6-D6ACBC981413}" sourceName="Mês">
  <pivotTables>
    <pivotTable tabId="27" name="Tabela dinâmica12"/>
    <pivotTable tabId="27" name="Tabela dinâmica13"/>
    <pivotTable tabId="27" name="Tabela dinâmica28"/>
    <pivotTable tabId="27" name="Tabela dinâmica29"/>
  </pivotTables>
  <data>
    <tabular pivotCacheId="2013486785">
      <items count="6">
        <i x="0" s="1"/>
        <i x="1" s="1"/>
        <i x="2" s="1"/>
        <i x="3" s="1"/>
        <i x="4" s="1"/>
        <i x="5"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TATUS" xr10:uid="{79F557B2-7459-48C2-AB42-DE74A67DE4CE}" sourceName="STATUS">
  <pivotTables>
    <pivotTable tabId="27" name="Tabela dinâmica28"/>
    <pivotTable tabId="27" name="Tabela dinâmica29"/>
    <pivotTable tabId="27" name="Tabela dinâmica12"/>
    <pivotTable tabId="27" name="Tabela dinâmica13"/>
  </pivotTables>
  <data>
    <tabular pivotCacheId="201348678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to 1" xr10:uid="{00000000-0014-0000-FFFF-FFFF01000000}" cache="SegmentaçãodeDados_Produto1" caption="Produto" columnCount="3" rowHeight="234000"/>
  <slicer name="Nome" xr10:uid="{00000000-0014-0000-FFFF-FFFF02000000}" cache="SegmentaçãodeDados_Nome" caption="Nome" columnCount="4" rowHeight="234000"/>
  <slicer name="Categoria 1" xr10:uid="{00000000-0014-0000-FFFF-FFFF03000000}" cache="SegmentaçãodeDados_Categoria1" caption="Categoria" rowHeight="230400"/>
  <slicer name="Mês" xr10:uid="{ECCC7905-82C6-4FF7-8652-339CAE3D160D}" cache="SegmentaçãodeDados_Mês" caption="Mês" rowHeight="234950"/>
  <slicer name="STATUS" xr10:uid="{191F8B5F-B8C7-43D4-9801-9784BF055023}" cache="SegmentaçãodeDados_STATUS" caption="STATUS"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a2" displayName="Tabela2" ref="A1:K120" totalsRowShown="0" headerRowDxfId="23" dataDxfId="21" headerRowBorderDxfId="22" tableBorderDxfId="20" totalsRowBorderDxfId="19" headerRowCellStyle="Moeda">
  <autoFilter ref="A1:K120" xr:uid="{00000000-0009-0000-0100-000002000000}"/>
  <sortState xmlns:xlrd2="http://schemas.microsoft.com/office/spreadsheetml/2017/richdata2" ref="A2:K117">
    <sortCondition ref="A115:A117"/>
  </sortState>
  <tableColumns count="11">
    <tableColumn id="1" xr3:uid="{00000000-0010-0000-0000-000001000000}" name="Data" dataDxfId="18" dataCellStyle="Normal 2"/>
    <tableColumn id="11" xr3:uid="{5160AA56-3249-4C4C-BB42-911941CBBD0F}" name="Mês" dataDxfId="17" dataCellStyle="Normal 2">
      <calculatedColumnFormula>TEXT(A2,"mmmm")</calculatedColumnFormula>
    </tableColumn>
    <tableColumn id="10" xr3:uid="{00000000-0010-0000-0000-00000A000000}" name="Nome" dataDxfId="16" dataCellStyle="Normal 2"/>
    <tableColumn id="2" xr3:uid="{00000000-0010-0000-0000-000002000000}" name="Produto " dataDxfId="15" dataCellStyle="Normal 2"/>
    <tableColumn id="8" xr3:uid="{00000000-0010-0000-0000-000008000000}" name="Custo Unitario" dataDxfId="14" dataCellStyle="Moeda">
      <calculatedColumnFormula>IFERROR(VLOOKUP(Tabela2[[#This Row],[Produto ]],'Custo Produto'!B:R,16,0)," ")</calculatedColumnFormula>
    </tableColumn>
    <tableColumn id="9" xr3:uid="{00000000-0010-0000-0000-000009000000}" name="Custo Total da Venda" dataDxfId="13" dataCellStyle="Moeda">
      <calculatedColumnFormula>IFERROR(Tabela2[[#This Row],[Custo Unitario]]*Tabela2[[#This Row],[Quantidade]]," ")</calculatedColumnFormula>
    </tableColumn>
    <tableColumn id="3" xr3:uid="{00000000-0010-0000-0000-000003000000}" name="Valor Unitario Venda" dataDxfId="12" dataCellStyle="Moeda">
      <calculatedColumnFormula>IFERROR(VLOOKUP(Tabela2[[#This Row],[Produto ]],'Custo Produto'!B:R,17,0)," ")</calculatedColumnFormula>
    </tableColumn>
    <tableColumn id="4" xr3:uid="{00000000-0010-0000-0000-000004000000}" name="Quantidade" dataDxfId="11" dataCellStyle="Moeda"/>
    <tableColumn id="5" xr3:uid="{00000000-0010-0000-0000-000005000000}" name="Valor da Venda" dataDxfId="10" dataCellStyle="Moeda"/>
    <tableColumn id="6" xr3:uid="{00000000-0010-0000-0000-000006000000}" name="Valor Recebido." dataDxfId="9" dataCellStyle="Moeda"/>
    <tableColumn id="7" xr3:uid="{00000000-0010-0000-0000-000007000000}" name="STATUS" dataDxfId="8" dataCellStyle="Normal 2">
      <calculatedColumnFormula>IF(Tabela2[[#This Row],[Valor Recebido.]]&gt;=Tabela2[[#This Row],[Valor da Venda]],"PAGO","A RECEBER")</calculatedColumnFormula>
    </tableColumn>
  </tableColumns>
  <tableStyleInfo name="TableStyleDark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50AD8B-0443-4695-AAEB-376AEA8C7FCC}" name="Tabela1" displayName="Tabela1" ref="A1:E1048572" totalsRowShown="0" headerRowDxfId="7" dataDxfId="6" tableBorderDxfId="5">
  <autoFilter ref="A1:E1048572" xr:uid="{CA50AD8B-0443-4695-AAEB-376AEA8C7FCC}"/>
  <tableColumns count="5">
    <tableColumn id="1" xr3:uid="{386B7511-C8F1-463F-B573-F5A8C25DA61D}" name="Data" dataDxfId="4"/>
    <tableColumn id="2" xr3:uid="{73B62A42-94F5-4597-BF7F-4AD629D47B47}" name="Descrição" dataDxfId="3"/>
    <tableColumn id="3" xr3:uid="{A0DA5BEF-0572-42A2-B171-C302A77E1E4D}" name="CONTA" dataDxfId="2"/>
    <tableColumn id="4" xr3:uid="{241E94F0-D1D5-4DF7-A015-A3885EA9192D}" name="ID da operação" dataDxfId="1"/>
    <tableColumn id="5" xr3:uid="{F2F8787D-61F1-4C45-B348-DF48A06BF9DE}" name="Valor" dataDxfId="0" dataCellStyle="Moeda"/>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a" xr10:uid="{00000000-0013-0000-FFFF-FFFF04000000}" sourceName="Data">
  <pivotTables>
    <pivotTable tabId="27" name="Tabela dinâmica1"/>
    <pivotTable tabId="27" name="Tabela dinâmica2"/>
  </pivotTables>
  <state minimalRefreshVersion="6" lastRefreshVersion="6" pivotCacheId="2013486785"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xr10:uid="{00000000-0014-0000-FFFF-FFFF04000000}" cache="NativeTimeline_Data" caption="Período" showSelectionLabel="0" showHorizontalScrollbar="0" level="2" selectionLevel="2" scrollPosition="2025-01-01T00:00:00" style="TimeSlicerStyleDark2"/>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microsoft.com/office/2011/relationships/timeline" Target="../timelines/timeline1.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tabColor rgb="FF00B050"/>
  </sheetPr>
  <dimension ref="A1:BQ49"/>
  <sheetViews>
    <sheetView tabSelected="1" topLeftCell="A4" zoomScale="90" zoomScaleNormal="90" workbookViewId="0">
      <selection activeCell="K23" sqref="K23"/>
    </sheetView>
  </sheetViews>
  <sheetFormatPr defaultColWidth="8.88671875" defaultRowHeight="14.4" x14ac:dyDescent="0.3"/>
  <cols>
    <col min="1" max="10" width="8.88671875" style="10"/>
    <col min="11" max="14" width="21.6640625" style="10" customWidth="1"/>
    <col min="15" max="19" width="24.6640625" style="10" customWidth="1"/>
    <col min="20" max="20" width="19.88671875" style="10" customWidth="1"/>
    <col min="21" max="22" width="24.6640625" style="10" customWidth="1"/>
    <col min="23" max="23" width="35.6640625" style="10" bestFit="1" customWidth="1"/>
    <col min="24" max="24" width="30.88671875" style="10" bestFit="1" customWidth="1"/>
    <col min="25" max="25" width="8" style="10" bestFit="1" customWidth="1"/>
    <col min="26" max="26" width="35.6640625" style="10" bestFit="1" customWidth="1"/>
    <col min="27" max="27" width="40.5546875" style="10" bestFit="1" customWidth="1"/>
    <col min="28" max="28" width="8.88671875" style="10" customWidth="1"/>
    <col min="29" max="29" width="35.6640625" style="10" bestFit="1" customWidth="1"/>
    <col min="30" max="30" width="27.5546875" style="10" bestFit="1" customWidth="1"/>
    <col min="31" max="31" width="8.88671875" style="10"/>
    <col min="32" max="32" width="35.6640625" style="10" bestFit="1" customWidth="1"/>
    <col min="33" max="33" width="20" style="10" bestFit="1" customWidth="1"/>
    <col min="34" max="34" width="9.6640625" style="10" customWidth="1"/>
    <col min="35" max="35" width="35.6640625" style="10" bestFit="1" customWidth="1"/>
    <col min="36" max="36" width="40.5546875" style="10" bestFit="1" customWidth="1"/>
    <col min="37" max="37" width="45.5546875" style="10" customWidth="1"/>
    <col min="38" max="38" width="35.6640625" style="10" bestFit="1" customWidth="1"/>
    <col min="39" max="39" width="18.77734375" style="10" bestFit="1" customWidth="1"/>
    <col min="40" max="40" width="8.109375" style="10" customWidth="1"/>
    <col min="41" max="41" width="35.6640625" style="10" bestFit="1" customWidth="1"/>
    <col min="42" max="42" width="25.5546875" style="10" bestFit="1" customWidth="1"/>
    <col min="43" max="43" width="8.88671875" style="10"/>
    <col min="44" max="44" width="18.109375" style="10" bestFit="1" customWidth="1"/>
    <col min="45" max="45" width="22.5546875" style="10" bestFit="1" customWidth="1"/>
    <col min="46" max="46" width="7.33203125" style="10" customWidth="1"/>
    <col min="47" max="47" width="18.109375" style="10" bestFit="1" customWidth="1"/>
    <col min="48" max="48" width="19.6640625" style="10" bestFit="1" customWidth="1"/>
    <col min="49" max="49" width="9.77734375" style="10" customWidth="1"/>
    <col min="50" max="50" width="8.77734375" style="10" bestFit="1" customWidth="1"/>
    <col min="51" max="51" width="22.5546875" style="10" bestFit="1" customWidth="1"/>
    <col min="52" max="52" width="8.6640625" style="10" customWidth="1"/>
    <col min="53" max="53" width="8.77734375" style="10" bestFit="1" customWidth="1"/>
    <col min="54" max="54" width="19.6640625" style="10" bestFit="1" customWidth="1"/>
    <col min="55" max="55" width="19.6640625" style="10" customWidth="1"/>
    <col min="56" max="56" width="8.88671875" style="10"/>
    <col min="57" max="57" width="22.5546875" style="10" bestFit="1" customWidth="1"/>
    <col min="58" max="58" width="23.21875" style="10" bestFit="1" customWidth="1"/>
    <col min="59" max="59" width="23.33203125" style="10" bestFit="1" customWidth="1"/>
    <col min="60" max="60" width="10.5546875" style="10" customWidth="1"/>
    <col min="61" max="61" width="21.88671875" style="10" bestFit="1" customWidth="1"/>
    <col min="62" max="62" width="12.21875" style="10" bestFit="1" customWidth="1"/>
    <col min="63" max="64" width="21.88671875" style="10" customWidth="1"/>
    <col min="65" max="65" width="23.33203125" style="10" bestFit="1" customWidth="1"/>
    <col min="66" max="66" width="25.6640625" style="10" customWidth="1"/>
    <col min="67" max="67" width="24.88671875" style="10" customWidth="1"/>
    <col min="68" max="68" width="18.33203125" style="10" customWidth="1"/>
    <col min="69" max="69" width="9.6640625" style="10" bestFit="1" customWidth="1"/>
    <col min="70" max="16384" width="8.88671875" style="10"/>
  </cols>
  <sheetData>
    <row r="1" spans="1:69" ht="28.8" x14ac:dyDescent="0.3">
      <c r="A1" s="155"/>
      <c r="B1" s="155"/>
      <c r="C1" s="155"/>
      <c r="D1" s="155"/>
      <c r="E1" s="155"/>
      <c r="F1" s="155"/>
      <c r="G1" s="155"/>
      <c r="H1" s="155"/>
      <c r="I1" s="155"/>
      <c r="J1" s="155"/>
      <c r="K1" s="156"/>
      <c r="L1" s="155"/>
      <c r="M1" s="155"/>
      <c r="N1" s="155"/>
      <c r="O1" s="155"/>
      <c r="P1" s="156"/>
      <c r="Q1" s="155"/>
      <c r="R1" s="155"/>
      <c r="S1" s="155"/>
      <c r="T1" s="155"/>
      <c r="U1" s="13" t="s">
        <v>148</v>
      </c>
      <c r="AR1" t="s">
        <v>8</v>
      </c>
      <c r="AS1" t="s">
        <v>16</v>
      </c>
      <c r="AU1" t="s">
        <v>8</v>
      </c>
      <c r="AV1" t="s">
        <v>16</v>
      </c>
      <c r="AW1"/>
      <c r="AX1" t="s">
        <v>8</v>
      </c>
      <c r="AY1" t="s">
        <v>16</v>
      </c>
      <c r="AZ1"/>
      <c r="BA1" t="s">
        <v>8</v>
      </c>
      <c r="BB1" t="s">
        <v>16</v>
      </c>
      <c r="BC1"/>
      <c r="BI1" t="s">
        <v>8</v>
      </c>
      <c r="BJ1" t="s">
        <v>58</v>
      </c>
      <c r="BO1" s="131" t="s">
        <v>17</v>
      </c>
      <c r="BP1" s="132">
        <f>SUBTOTAL(9,'Vendas e Despesas'!F:F)</f>
        <v>93.467550463836247</v>
      </c>
      <c r="BQ1" s="133"/>
    </row>
    <row r="2" spans="1:69" ht="17.399999999999999" x14ac:dyDescent="0.3">
      <c r="A2" s="155"/>
      <c r="B2" s="155"/>
      <c r="C2" s="155"/>
      <c r="D2" s="155"/>
      <c r="E2" s="155"/>
      <c r="F2" s="155"/>
      <c r="G2" s="155"/>
      <c r="H2" s="155"/>
      <c r="I2" s="155"/>
      <c r="J2" s="155"/>
      <c r="K2" s="156"/>
      <c r="L2" s="155"/>
      <c r="M2" s="155"/>
      <c r="N2" s="155"/>
      <c r="O2" s="155"/>
      <c r="P2" s="156"/>
      <c r="Q2" s="155"/>
      <c r="R2" s="155"/>
      <c r="S2" s="155"/>
      <c r="T2" s="155"/>
      <c r="W2" s="134">
        <f>SUBTOTAL(101,X$4:X$1048576)</f>
        <v>24.27136752136753</v>
      </c>
      <c r="X2" s="135"/>
      <c r="AA2" s="135">
        <f>SUBTOTAL(9,AA$4:AA$1048576)</f>
        <v>22.221743468447677</v>
      </c>
      <c r="AD2" s="135">
        <f>SUBTOTAL(101,AD$4:AD$1048576)</f>
        <v>20.646378524765396</v>
      </c>
      <c r="AG2" s="135">
        <f>SUBTOTAL(101,AG$4:AG$1048576)</f>
        <v>11.383005222328574</v>
      </c>
      <c r="AJ2" s="135">
        <f>SUBTOTAL(9,AJ$4:AJ$1048576)</f>
        <v>22.221743468447677</v>
      </c>
      <c r="AM2" s="135">
        <f>SUBTOTAL(101,AM$4:AM$1048576)</f>
        <v>22.678586259255059</v>
      </c>
      <c r="AN2" s="135"/>
      <c r="AO2" s="135"/>
      <c r="AP2" s="136">
        <f>SUBTOTAL(101,AP$4:AP$1048576)</f>
        <v>0.53765152087295687</v>
      </c>
      <c r="AR2"/>
      <c r="AS2" s="125">
        <f>SUBTOTAL(9,AS$4:AS$1048576)</f>
        <v>3921.0018310231194</v>
      </c>
      <c r="AT2"/>
      <c r="AU2"/>
      <c r="AV2" s="137">
        <f>SUBTOTAL(9,AV$4:AV$1048576)</f>
        <v>125.5</v>
      </c>
      <c r="AW2" s="137"/>
      <c r="AX2" s="137"/>
      <c r="AY2" s="125">
        <f>SUBTOTAL(9,AY$4:AY$1048576)</f>
        <v>3921.0018310231194</v>
      </c>
      <c r="AZ2" s="137"/>
      <c r="BA2" s="137"/>
      <c r="BB2" s="137">
        <f>SUBTOTAL(9,BB$4:BB$1048576)</f>
        <v>125.5</v>
      </c>
      <c r="BC2" s="137"/>
      <c r="BE2" s="135">
        <f>SUBTOTAL(9,BE$4:BE$1048576)</f>
        <v>3921.0018310231194</v>
      </c>
      <c r="BF2" s="135">
        <f>SUBTOTAL(9,BF$4:BF$1048576)</f>
        <v>3776.0018310231194</v>
      </c>
      <c r="BG2" s="135"/>
      <c r="BJ2" s="135">
        <f>SUBTOTAL(9,BI$4:BI$1048576)</f>
        <v>2415.9599999999996</v>
      </c>
      <c r="BM2" s="138"/>
      <c r="BO2" s="139"/>
      <c r="BP2" s="129"/>
      <c r="BQ2" s="140"/>
    </row>
    <row r="3" spans="1:69" ht="31.2" x14ac:dyDescent="0.3">
      <c r="A3" s="155"/>
      <c r="B3" s="155"/>
      <c r="C3" s="155"/>
      <c r="D3" s="155"/>
      <c r="E3" s="155"/>
      <c r="F3" s="155"/>
      <c r="G3" s="155"/>
      <c r="H3" s="155"/>
      <c r="I3" s="155"/>
      <c r="J3" s="155"/>
      <c r="K3" s="156"/>
      <c r="L3" s="155"/>
      <c r="M3" s="155"/>
      <c r="N3" s="155"/>
      <c r="O3" s="155"/>
      <c r="P3" s="156"/>
      <c r="Q3" s="155"/>
      <c r="R3" s="155"/>
      <c r="S3" s="155"/>
      <c r="T3" s="155"/>
      <c r="W3" s="10" t="s">
        <v>0</v>
      </c>
      <c r="X3" s="10" t="s">
        <v>90</v>
      </c>
      <c r="Y3"/>
      <c r="Z3" s="10" t="s">
        <v>0</v>
      </c>
      <c r="AA3" s="10" t="s">
        <v>147</v>
      </c>
      <c r="AB3"/>
      <c r="AC3" s="10" t="s">
        <v>0</v>
      </c>
      <c r="AD3" s="10" t="s">
        <v>6</v>
      </c>
      <c r="AF3" s="10" t="s">
        <v>0</v>
      </c>
      <c r="AG3" s="10" t="s">
        <v>39</v>
      </c>
      <c r="AH3"/>
      <c r="AI3" s="10" t="s">
        <v>0</v>
      </c>
      <c r="AJ3" s="10" t="s">
        <v>147</v>
      </c>
      <c r="AK3"/>
      <c r="AL3" s="10" t="s">
        <v>0</v>
      </c>
      <c r="AM3" s="10" t="s">
        <v>40</v>
      </c>
      <c r="AO3" s="10" t="s">
        <v>0</v>
      </c>
      <c r="AP3" s="10" t="s">
        <v>105</v>
      </c>
      <c r="AR3" t="s">
        <v>4</v>
      </c>
      <c r="AS3" t="s">
        <v>60</v>
      </c>
      <c r="AT3"/>
      <c r="AU3" t="s">
        <v>4</v>
      </c>
      <c r="AV3" t="s">
        <v>61</v>
      </c>
      <c r="AW3"/>
      <c r="AX3" t="s">
        <v>216</v>
      </c>
      <c r="AY3" t="s">
        <v>60</v>
      </c>
      <c r="AZ3"/>
      <c r="BA3" t="s">
        <v>216</v>
      </c>
      <c r="BB3" t="s">
        <v>61</v>
      </c>
      <c r="BC3"/>
      <c r="BD3"/>
      <c r="BE3" t="s">
        <v>60</v>
      </c>
      <c r="BF3" t="s">
        <v>118</v>
      </c>
      <c r="BG3" s="141" t="s">
        <v>119</v>
      </c>
      <c r="BH3"/>
      <c r="BI3" t="s">
        <v>120</v>
      </c>
      <c r="BJ3"/>
      <c r="BK3" s="131" t="s">
        <v>115</v>
      </c>
      <c r="BL3" s="131" t="s">
        <v>114</v>
      </c>
      <c r="BM3"/>
      <c r="BN3"/>
      <c r="BO3" s="131" t="s">
        <v>12</v>
      </c>
      <c r="BP3" s="142">
        <f>SUM('Vendas e Despesas'!I2:I120)</f>
        <v>3921.0018310231194</v>
      </c>
      <c r="BQ3" s="140"/>
    </row>
    <row r="4" spans="1:69" x14ac:dyDescent="0.3">
      <c r="A4" s="155"/>
      <c r="B4" s="155"/>
      <c r="C4" s="155"/>
      <c r="D4" s="155"/>
      <c r="E4" s="155"/>
      <c r="F4" s="155"/>
      <c r="G4" s="155"/>
      <c r="H4" s="155"/>
      <c r="I4" s="155"/>
      <c r="J4" s="155"/>
      <c r="K4" s="156"/>
      <c r="L4" s="155"/>
      <c r="M4" s="155"/>
      <c r="N4" s="155"/>
      <c r="O4" s="155"/>
      <c r="P4" s="156"/>
      <c r="Q4" s="155"/>
      <c r="R4" s="155"/>
      <c r="S4" s="155"/>
      <c r="T4" s="155"/>
      <c r="W4" s="10" t="s">
        <v>26</v>
      </c>
      <c r="X4" s="134">
        <v>18.777777777777779</v>
      </c>
      <c r="Y4"/>
      <c r="Z4" s="10" t="s">
        <v>26</v>
      </c>
      <c r="AA4" s="143">
        <v>0.75094863905325437</v>
      </c>
      <c r="AB4"/>
      <c r="AC4" s="10" t="s">
        <v>26</v>
      </c>
      <c r="AD4" s="143">
        <v>14.101146666666667</v>
      </c>
      <c r="AF4" s="10" t="s">
        <v>26</v>
      </c>
      <c r="AG4" s="143">
        <v>1.659596492307692</v>
      </c>
      <c r="AH4"/>
      <c r="AI4" s="10" t="s">
        <v>26</v>
      </c>
      <c r="AJ4" s="143">
        <v>0.75094863905325437</v>
      </c>
      <c r="AK4"/>
      <c r="AL4" s="10" t="s">
        <v>26</v>
      </c>
      <c r="AM4" s="143">
        <v>17.062387466666664</v>
      </c>
      <c r="AN4" s="143"/>
      <c r="AO4" s="10" t="s">
        <v>26</v>
      </c>
      <c r="AP4" s="162">
        <v>0.54751131221719462</v>
      </c>
      <c r="AR4" s="9" t="s">
        <v>106</v>
      </c>
      <c r="AS4" s="144">
        <v>535</v>
      </c>
      <c r="AT4"/>
      <c r="AU4" s="9" t="s">
        <v>99</v>
      </c>
      <c r="AV4">
        <v>12</v>
      </c>
      <c r="AW4"/>
      <c r="AX4" t="s">
        <v>217</v>
      </c>
      <c r="AY4" s="144">
        <v>258</v>
      </c>
      <c r="AZ4"/>
      <c r="BA4" t="s">
        <v>217</v>
      </c>
      <c r="BB4" s="161">
        <v>12</v>
      </c>
      <c r="BC4"/>
      <c r="BD4"/>
      <c r="BE4" s="85">
        <v>3921.0018310231194</v>
      </c>
      <c r="BF4" s="85">
        <v>3776.0018310231194</v>
      </c>
      <c r="BG4" s="145">
        <f>GETPIVOTDATA("Soma de Valor Recebido.",$BE$3)-GETPIVOTDATA("Soma de Valor da Venda",$BE$3)</f>
        <v>-145</v>
      </c>
      <c r="BH4"/>
      <c r="BI4" s="144">
        <v>2415.9599999999996</v>
      </c>
      <c r="BJ4"/>
      <c r="BK4" s="144">
        <f>BF2-BJ2</f>
        <v>1360.0418310231198</v>
      </c>
      <c r="BL4" s="146">
        <f>IFERROR(BK4/BE2,0)</f>
        <v>0.34686079977377615</v>
      </c>
      <c r="BM4"/>
      <c r="BN4"/>
      <c r="BO4" s="139"/>
      <c r="BP4" s="129"/>
      <c r="BQ4" s="147"/>
    </row>
    <row r="5" spans="1:69" ht="15.6" x14ac:dyDescent="0.3">
      <c r="A5" s="155"/>
      <c r="B5" s="155"/>
      <c r="C5" s="155"/>
      <c r="D5" s="155"/>
      <c r="E5" s="155"/>
      <c r="F5" s="155"/>
      <c r="G5" s="155"/>
      <c r="H5" s="155"/>
      <c r="I5" s="155"/>
      <c r="J5" s="155"/>
      <c r="K5" s="156"/>
      <c r="L5" s="155"/>
      <c r="M5" s="155"/>
      <c r="N5" s="155"/>
      <c r="O5" s="155"/>
      <c r="P5" s="156"/>
      <c r="Q5" s="155"/>
      <c r="R5" s="155"/>
      <c r="S5" s="155"/>
      <c r="T5" s="155"/>
      <c r="W5" s="10" t="s">
        <v>5</v>
      </c>
      <c r="X5" s="134"/>
      <c r="Y5"/>
      <c r="Z5" s="10" t="s">
        <v>5</v>
      </c>
      <c r="AA5" s="143"/>
      <c r="AB5"/>
      <c r="AC5" s="10" t="s">
        <v>5</v>
      </c>
      <c r="AD5" s="143"/>
      <c r="AF5" s="10" t="s">
        <v>5</v>
      </c>
      <c r="AG5" s="143"/>
      <c r="AH5"/>
      <c r="AI5" s="10" t="s">
        <v>5</v>
      </c>
      <c r="AJ5" s="143"/>
      <c r="AK5"/>
      <c r="AL5" s="10" t="s">
        <v>5</v>
      </c>
      <c r="AM5" s="143"/>
      <c r="AN5" s="143"/>
      <c r="AO5" s="10" t="s">
        <v>5</v>
      </c>
      <c r="AP5" s="162"/>
      <c r="AR5" s="9" t="s">
        <v>99</v>
      </c>
      <c r="AS5" s="144">
        <v>511.00049936994162</v>
      </c>
      <c r="AT5"/>
      <c r="AU5" s="9" t="s">
        <v>112</v>
      </c>
      <c r="AV5">
        <v>10</v>
      </c>
      <c r="AW5"/>
      <c r="AX5" t="s">
        <v>218</v>
      </c>
      <c r="AY5" s="144">
        <v>875.00183102311939</v>
      </c>
      <c r="AZ5"/>
      <c r="BA5" t="s">
        <v>218</v>
      </c>
      <c r="BB5" s="161">
        <v>23.5</v>
      </c>
      <c r="BC5"/>
      <c r="BD5"/>
      <c r="BE5"/>
      <c r="BF5"/>
      <c r="BG5"/>
      <c r="BH5"/>
      <c r="BI5"/>
      <c r="BJ5"/>
      <c r="BK5" s="144"/>
      <c r="BL5" s="144"/>
      <c r="BM5"/>
      <c r="BN5"/>
      <c r="BO5" s="131" t="s">
        <v>11</v>
      </c>
      <c r="BP5" s="148">
        <f>SUM('Vendas e Despesas'!J2:J120)</f>
        <v>3816.0018310231194</v>
      </c>
      <c r="BQ5" s="147"/>
    </row>
    <row r="6" spans="1:69" x14ac:dyDescent="0.3">
      <c r="A6" s="155"/>
      <c r="B6" s="155"/>
      <c r="C6" s="155"/>
      <c r="D6" s="155"/>
      <c r="E6" s="155"/>
      <c r="F6" s="155"/>
      <c r="G6" s="155"/>
      <c r="H6" s="155"/>
      <c r="I6" s="155"/>
      <c r="J6" s="155"/>
      <c r="K6" s="156"/>
      <c r="L6" s="155"/>
      <c r="M6" s="155"/>
      <c r="N6" s="155"/>
      <c r="O6" s="155"/>
      <c r="P6" s="156"/>
      <c r="Q6" s="155"/>
      <c r="R6" s="155"/>
      <c r="S6" s="155"/>
      <c r="T6" s="155"/>
      <c r="W6" s="10" t="s">
        <v>42</v>
      </c>
      <c r="X6" s="134">
        <v>18.722222222222221</v>
      </c>
      <c r="Y6"/>
      <c r="Z6" s="10" t="s">
        <v>42</v>
      </c>
      <c r="AA6" s="143">
        <v>0.80553624417125913</v>
      </c>
      <c r="AB6"/>
      <c r="AC6" s="10" t="s">
        <v>42</v>
      </c>
      <c r="AD6" s="143">
        <v>15.081428571428573</v>
      </c>
      <c r="AF6" s="10" t="s">
        <v>42</v>
      </c>
      <c r="AG6" s="143">
        <v>1.6594046629927939</v>
      </c>
      <c r="AI6" s="10" t="s">
        <v>42</v>
      </c>
      <c r="AJ6" s="143">
        <v>0.80553624417125913</v>
      </c>
      <c r="AK6"/>
      <c r="AL6" s="10" t="s">
        <v>42</v>
      </c>
      <c r="AM6" s="143">
        <v>15.986314285714288</v>
      </c>
      <c r="AN6" s="143"/>
      <c r="AO6" s="10" t="s">
        <v>42</v>
      </c>
      <c r="AP6" s="162">
        <v>0.5145631067961165</v>
      </c>
      <c r="AR6" s="9" t="s">
        <v>112</v>
      </c>
      <c r="AS6" s="144">
        <v>441.00033291329441</v>
      </c>
      <c r="AT6"/>
      <c r="AU6" s="9" t="s">
        <v>106</v>
      </c>
      <c r="AV6" s="161">
        <v>6.5</v>
      </c>
      <c r="AW6"/>
      <c r="AX6" t="s">
        <v>219</v>
      </c>
      <c r="AY6" s="144">
        <v>1155</v>
      </c>
      <c r="AZ6"/>
      <c r="BA6" t="s">
        <v>219</v>
      </c>
      <c r="BB6" s="161">
        <v>55</v>
      </c>
      <c r="BC6"/>
      <c r="BD6"/>
      <c r="BE6"/>
      <c r="BF6"/>
      <c r="BG6"/>
      <c r="BH6"/>
      <c r="BI6"/>
      <c r="BJ6"/>
      <c r="BK6" s="144"/>
      <c r="BL6" s="144"/>
      <c r="BM6"/>
      <c r="BN6"/>
      <c r="BO6" s="147"/>
      <c r="BP6" s="147"/>
      <c r="BQ6" s="147"/>
    </row>
    <row r="7" spans="1:69" ht="15.6" x14ac:dyDescent="0.3">
      <c r="A7" s="155"/>
      <c r="B7" s="155"/>
      <c r="C7" s="155"/>
      <c r="D7" s="155"/>
      <c r="E7" s="155"/>
      <c r="F7" s="155"/>
      <c r="G7" s="155"/>
      <c r="H7" s="155"/>
      <c r="I7" s="155"/>
      <c r="J7" s="155"/>
      <c r="K7" s="156"/>
      <c r="L7" s="155"/>
      <c r="M7" s="155"/>
      <c r="N7" s="155"/>
      <c r="O7" s="155"/>
      <c r="P7" s="156"/>
      <c r="Q7" s="155"/>
      <c r="R7" s="155"/>
      <c r="S7" s="155"/>
      <c r="T7" s="155"/>
      <c r="W7" s="10" t="s">
        <v>48</v>
      </c>
      <c r="X7" s="134">
        <v>19.111111111111111</v>
      </c>
      <c r="Y7"/>
      <c r="Z7" s="10" t="s">
        <v>48</v>
      </c>
      <c r="AA7" s="143">
        <v>0.69209302325581401</v>
      </c>
      <c r="AB7"/>
      <c r="AC7" s="10" t="s">
        <v>48</v>
      </c>
      <c r="AD7" s="143">
        <v>13.226666666666667</v>
      </c>
      <c r="AF7" s="10" t="s">
        <v>48</v>
      </c>
      <c r="AG7" s="143">
        <v>1.6610232558139537</v>
      </c>
      <c r="AI7" s="10" t="s">
        <v>48</v>
      </c>
      <c r="AJ7" s="143">
        <v>0.69209302325581401</v>
      </c>
      <c r="AK7"/>
      <c r="AL7" s="10" t="s">
        <v>48</v>
      </c>
      <c r="AM7" s="143">
        <v>18.517333333333333</v>
      </c>
      <c r="AN7" s="143"/>
      <c r="AO7" s="10" t="s">
        <v>48</v>
      </c>
      <c r="AP7" s="162">
        <v>0.58333333333333326</v>
      </c>
      <c r="AR7" s="9" t="s">
        <v>280</v>
      </c>
      <c r="AS7" s="144">
        <v>210</v>
      </c>
      <c r="AT7"/>
      <c r="AU7" s="9" t="s">
        <v>244</v>
      </c>
      <c r="AV7">
        <v>6</v>
      </c>
      <c r="AW7"/>
      <c r="AX7" t="s">
        <v>248</v>
      </c>
      <c r="AY7" s="144">
        <v>1593</v>
      </c>
      <c r="AZ7"/>
      <c r="BA7" t="s">
        <v>248</v>
      </c>
      <c r="BB7" s="161">
        <v>33</v>
      </c>
      <c r="BC7"/>
      <c r="BD7"/>
      <c r="BE7"/>
      <c r="BF7"/>
      <c r="BG7"/>
      <c r="BH7"/>
      <c r="BI7"/>
      <c r="BJ7"/>
      <c r="BK7" s="144"/>
      <c r="BL7" s="144"/>
      <c r="BM7"/>
      <c r="BN7"/>
      <c r="BO7" s="131" t="s">
        <v>14</v>
      </c>
      <c r="BP7" s="149">
        <f>BP5-BP3</f>
        <v>-105</v>
      </c>
      <c r="BQ7" s="147"/>
    </row>
    <row r="8" spans="1:69" ht="15.6" x14ac:dyDescent="0.3">
      <c r="A8" s="155"/>
      <c r="B8" s="155"/>
      <c r="C8" s="155"/>
      <c r="D8" s="155"/>
      <c r="E8" s="155"/>
      <c r="F8" s="155"/>
      <c r="G8" s="155"/>
      <c r="H8" s="155"/>
      <c r="I8" s="155"/>
      <c r="J8" s="155"/>
      <c r="K8" s="156"/>
      <c r="L8" s="155"/>
      <c r="M8" s="155"/>
      <c r="N8" s="155"/>
      <c r="O8" s="155"/>
      <c r="P8" s="156"/>
      <c r="Q8" s="155"/>
      <c r="R8" s="155"/>
      <c r="S8" s="155"/>
      <c r="T8" s="155"/>
      <c r="W8" s="10" t="s">
        <v>63</v>
      </c>
      <c r="X8" s="134">
        <v>12</v>
      </c>
      <c r="Y8"/>
      <c r="Z8" s="10" t="s">
        <v>63</v>
      </c>
      <c r="AA8" s="143">
        <v>0.84575135395510281</v>
      </c>
      <c r="AB8"/>
      <c r="AC8" s="10" t="s">
        <v>63</v>
      </c>
      <c r="AD8" s="143">
        <v>11.749016247461233</v>
      </c>
      <c r="AF8" s="10" t="s">
        <v>63</v>
      </c>
      <c r="AG8" s="143">
        <v>20.000166456647218</v>
      </c>
      <c r="AI8" s="10" t="s">
        <v>63</v>
      </c>
      <c r="AJ8" s="143">
        <v>0.84575135395510281</v>
      </c>
      <c r="AK8"/>
      <c r="AL8" s="10" t="s">
        <v>63</v>
      </c>
      <c r="AM8" s="143">
        <v>8.251150209185985</v>
      </c>
      <c r="AN8" s="143"/>
      <c r="AO8" s="10" t="s">
        <v>63</v>
      </c>
      <c r="AP8" s="162">
        <v>0.41255407684087791</v>
      </c>
      <c r="AR8" s="9" t="s">
        <v>244</v>
      </c>
      <c r="AS8" s="144">
        <v>180</v>
      </c>
      <c r="AT8"/>
      <c r="AU8" s="9" t="s">
        <v>94</v>
      </c>
      <c r="AV8">
        <v>6</v>
      </c>
      <c r="AW8"/>
      <c r="AX8" t="s">
        <v>286</v>
      </c>
      <c r="AY8" s="144">
        <v>40</v>
      </c>
      <c r="AZ8"/>
      <c r="BA8" t="s">
        <v>286</v>
      </c>
      <c r="BB8" s="161">
        <v>2</v>
      </c>
      <c r="BC8"/>
      <c r="BD8"/>
      <c r="BE8"/>
      <c r="BF8"/>
      <c r="BG8"/>
      <c r="BH8"/>
      <c r="BI8"/>
      <c r="BJ8"/>
      <c r="BK8" s="144"/>
      <c r="BL8" s="144"/>
      <c r="BM8"/>
      <c r="BN8"/>
      <c r="BO8" s="131"/>
      <c r="BP8" s="147"/>
      <c r="BQ8" s="147"/>
    </row>
    <row r="9" spans="1:69" ht="15.6" x14ac:dyDescent="0.3">
      <c r="A9" s="155"/>
      <c r="B9" s="155"/>
      <c r="C9" s="155"/>
      <c r="D9" s="155"/>
      <c r="E9" s="155"/>
      <c r="F9" s="155"/>
      <c r="G9" s="155"/>
      <c r="H9" s="155"/>
      <c r="I9" s="155"/>
      <c r="J9" s="155"/>
      <c r="K9" s="156"/>
      <c r="L9" s="155"/>
      <c r="M9" s="155"/>
      <c r="N9" s="155"/>
      <c r="O9" s="157"/>
      <c r="P9" s="158"/>
      <c r="Q9" s="157"/>
      <c r="R9" s="157"/>
      <c r="S9" s="157"/>
      <c r="T9" s="157"/>
      <c r="U9"/>
      <c r="V9"/>
      <c r="W9" s="10" t="s">
        <v>64</v>
      </c>
      <c r="X9" s="134">
        <v>100</v>
      </c>
      <c r="Y9"/>
      <c r="Z9" s="10" t="s">
        <v>64</v>
      </c>
      <c r="AA9" s="143">
        <v>0.84618865765682594</v>
      </c>
      <c r="AB9"/>
      <c r="AC9" s="10" t="s">
        <v>64</v>
      </c>
      <c r="AD9" s="143">
        <v>88.6188657656826</v>
      </c>
      <c r="AF9" s="10" t="s">
        <v>64</v>
      </c>
      <c r="AG9" s="143">
        <v>169.99682897253953</v>
      </c>
      <c r="AI9" s="10" t="s">
        <v>64</v>
      </c>
      <c r="AJ9" s="143">
        <v>0.84618865765682594</v>
      </c>
      <c r="AK9"/>
      <c r="AL9" s="10" t="s">
        <v>64</v>
      </c>
      <c r="AM9" s="143">
        <v>81.377963206856933</v>
      </c>
      <c r="AN9" s="143"/>
      <c r="AO9" s="10" t="s">
        <v>64</v>
      </c>
      <c r="AP9" s="162">
        <v>0.47870283050986989</v>
      </c>
      <c r="AR9" s="9" t="s">
        <v>180</v>
      </c>
      <c r="AS9" s="144">
        <v>160</v>
      </c>
      <c r="AT9"/>
      <c r="AU9" s="9" t="s">
        <v>187</v>
      </c>
      <c r="AV9">
        <v>5</v>
      </c>
      <c r="AW9"/>
      <c r="AX9"/>
      <c r="AY9"/>
      <c r="AZ9"/>
      <c r="BA9"/>
      <c r="BB9"/>
      <c r="BC9"/>
      <c r="BD9"/>
      <c r="BE9"/>
      <c r="BF9"/>
      <c r="BG9"/>
      <c r="BH9"/>
      <c r="BI9"/>
      <c r="BJ9"/>
      <c r="BK9"/>
      <c r="BL9"/>
      <c r="BM9"/>
      <c r="BN9"/>
      <c r="BO9" s="131" t="s">
        <v>18</v>
      </c>
      <c r="BP9" s="150">
        <f>SUMIFS('Vendas e Despesas'!E:E,'Vendas e Despesas'!D:D,Gráficos!BO9)</f>
        <v>2415.96</v>
      </c>
      <c r="BQ9" s="147"/>
    </row>
    <row r="10" spans="1:69" ht="15.6" x14ac:dyDescent="0.3">
      <c r="A10" s="155"/>
      <c r="B10" s="155"/>
      <c r="C10" s="155"/>
      <c r="D10" s="155"/>
      <c r="E10" s="155"/>
      <c r="F10" s="155"/>
      <c r="G10" s="155"/>
      <c r="H10" s="155"/>
      <c r="I10" s="155"/>
      <c r="J10" s="155"/>
      <c r="K10" s="156"/>
      <c r="L10" s="155"/>
      <c r="M10" s="155"/>
      <c r="N10" s="155"/>
      <c r="O10" s="155"/>
      <c r="P10" s="156"/>
      <c r="Q10" s="155"/>
      <c r="R10" s="155"/>
      <c r="S10" s="155"/>
      <c r="T10" s="155"/>
      <c r="W10" s="10" t="s">
        <v>87</v>
      </c>
      <c r="X10" s="134">
        <v>20.555555555555557</v>
      </c>
      <c r="Y10"/>
      <c r="Z10" s="10" t="s">
        <v>87</v>
      </c>
      <c r="AA10" s="143">
        <v>1.067027027027027</v>
      </c>
      <c r="AB10"/>
      <c r="AC10" s="10" t="s">
        <v>87</v>
      </c>
      <c r="AD10" s="143">
        <v>21.933333333333334</v>
      </c>
      <c r="AF10" s="10" t="s">
        <v>87</v>
      </c>
      <c r="AG10" s="143">
        <v>1.9953405405405404</v>
      </c>
      <c r="AI10" s="10" t="s">
        <v>87</v>
      </c>
      <c r="AJ10" s="143">
        <v>1.067027027027027</v>
      </c>
      <c r="AK10"/>
      <c r="AL10" s="10" t="s">
        <v>87</v>
      </c>
      <c r="AM10" s="143">
        <v>19.082000000000001</v>
      </c>
      <c r="AN10" s="143"/>
      <c r="AO10" s="10" t="s">
        <v>87</v>
      </c>
      <c r="AP10" s="162">
        <v>0.46524064171122997</v>
      </c>
      <c r="AR10" s="9" t="s">
        <v>94</v>
      </c>
      <c r="AS10" s="144">
        <v>120.00016645664722</v>
      </c>
      <c r="AT10"/>
      <c r="AU10" s="9" t="s">
        <v>180</v>
      </c>
      <c r="AV10">
        <v>5</v>
      </c>
      <c r="AW10"/>
      <c r="AX10"/>
      <c r="AY10"/>
      <c r="AZ10"/>
      <c r="BA10"/>
      <c r="BB10"/>
      <c r="BC10"/>
      <c r="BD10"/>
      <c r="BE10"/>
      <c r="BF10"/>
      <c r="BG10"/>
      <c r="BH10"/>
      <c r="BI10"/>
      <c r="BJ10"/>
      <c r="BK10"/>
      <c r="BL10"/>
      <c r="BM10"/>
      <c r="BN10"/>
      <c r="BO10" s="131"/>
      <c r="BP10" s="131"/>
      <c r="BQ10" s="147"/>
    </row>
    <row r="11" spans="1:69" ht="15.6" x14ac:dyDescent="0.3">
      <c r="A11" s="155"/>
      <c r="B11" s="155"/>
      <c r="C11" s="155"/>
      <c r="D11" s="155"/>
      <c r="E11" s="155"/>
      <c r="F11" s="155"/>
      <c r="G11" s="155"/>
      <c r="H11" s="155"/>
      <c r="I11" s="155"/>
      <c r="J11" s="155"/>
      <c r="K11" s="156"/>
      <c r="L11" s="155"/>
      <c r="M11" s="155"/>
      <c r="N11" s="155"/>
      <c r="O11" s="155"/>
      <c r="P11" s="156"/>
      <c r="Q11" s="155"/>
      <c r="R11" s="155"/>
      <c r="S11" s="155"/>
      <c r="T11" s="155"/>
      <c r="W11" s="10" t="s">
        <v>77</v>
      </c>
      <c r="X11" s="134">
        <v>8</v>
      </c>
      <c r="Y11"/>
      <c r="Z11" s="10" t="s">
        <v>77</v>
      </c>
      <c r="AA11" s="143">
        <v>0.85580933909473567</v>
      </c>
      <c r="AB11"/>
      <c r="AC11" s="10" t="s">
        <v>77</v>
      </c>
      <c r="AD11" s="143">
        <v>7.2464747127578857</v>
      </c>
      <c r="AF11" s="10" t="s">
        <v>77</v>
      </c>
      <c r="AG11" s="143">
        <v>13.99709877953716</v>
      </c>
      <c r="AI11" s="10" t="s">
        <v>77</v>
      </c>
      <c r="AJ11" s="143">
        <v>0.85580933909473567</v>
      </c>
      <c r="AK11"/>
      <c r="AL11" s="10" t="s">
        <v>77</v>
      </c>
      <c r="AM11" s="143">
        <v>6.7506240667792738</v>
      </c>
      <c r="AN11" s="143"/>
      <c r="AO11" s="10" t="s">
        <v>77</v>
      </c>
      <c r="AP11" s="162">
        <v>0.48228737777061653</v>
      </c>
      <c r="AR11" s="9" t="s">
        <v>189</v>
      </c>
      <c r="AS11" s="144">
        <v>110</v>
      </c>
      <c r="AT11"/>
      <c r="AU11" s="9" t="s">
        <v>189</v>
      </c>
      <c r="AV11">
        <v>4</v>
      </c>
      <c r="AW11"/>
      <c r="AX11"/>
      <c r="AY11"/>
      <c r="AZ11"/>
      <c r="BA11"/>
      <c r="BB11"/>
      <c r="BC11"/>
      <c r="BD11"/>
      <c r="BE11"/>
      <c r="BF11"/>
      <c r="BG11"/>
      <c r="BH11"/>
      <c r="BI11"/>
      <c r="BJ11"/>
      <c r="BK11"/>
      <c r="BL11"/>
      <c r="BM11"/>
      <c r="BN11"/>
      <c r="BO11" s="131" t="s">
        <v>19</v>
      </c>
      <c r="BP11" s="151">
        <f>BP9+BP10</f>
        <v>2415.96</v>
      </c>
      <c r="BQ11" s="147"/>
    </row>
    <row r="12" spans="1:69" ht="15.6" x14ac:dyDescent="0.3">
      <c r="A12" s="155"/>
      <c r="B12" s="155"/>
      <c r="C12" s="155"/>
      <c r="D12" s="155"/>
      <c r="E12" s="155"/>
      <c r="F12" s="155"/>
      <c r="G12" s="155"/>
      <c r="H12" s="155"/>
      <c r="I12" s="155"/>
      <c r="J12" s="155"/>
      <c r="K12" s="156"/>
      <c r="L12" s="155"/>
      <c r="M12" s="155"/>
      <c r="N12" s="155"/>
      <c r="O12" s="155"/>
      <c r="P12" s="156"/>
      <c r="Q12" s="155"/>
      <c r="R12" s="155"/>
      <c r="S12" s="155"/>
      <c r="T12" s="155"/>
      <c r="W12" s="10" t="s">
        <v>86</v>
      </c>
      <c r="X12" s="134">
        <v>30</v>
      </c>
      <c r="Y12"/>
      <c r="Z12" s="10" t="s">
        <v>86</v>
      </c>
      <c r="AA12" s="143">
        <v>0.84618865765682594</v>
      </c>
      <c r="AB12"/>
      <c r="AC12" s="10" t="s">
        <v>86</v>
      </c>
      <c r="AD12" s="143">
        <v>27.185659729704778</v>
      </c>
      <c r="AF12" s="10" t="s">
        <v>86</v>
      </c>
      <c r="AG12" s="143">
        <v>49.997213562817485</v>
      </c>
      <c r="AI12" s="10" t="s">
        <v>86</v>
      </c>
      <c r="AJ12" s="143">
        <v>0.84618865765682594</v>
      </c>
      <c r="AK12"/>
      <c r="AL12" s="10" t="s">
        <v>86</v>
      </c>
      <c r="AM12" s="143">
        <v>22.811553833112708</v>
      </c>
      <c r="AN12" s="143"/>
      <c r="AO12" s="10" t="s">
        <v>86</v>
      </c>
      <c r="AP12" s="162">
        <v>0.45625650326396333</v>
      </c>
      <c r="AR12" s="9" t="s">
        <v>187</v>
      </c>
      <c r="AS12" s="144">
        <v>105</v>
      </c>
      <c r="AT12"/>
      <c r="AU12" s="9" t="s">
        <v>250</v>
      </c>
      <c r="AV12">
        <v>4</v>
      </c>
      <c r="AW12"/>
      <c r="AX12"/>
      <c r="AY12"/>
      <c r="AZ12"/>
      <c r="BA12"/>
      <c r="BB12"/>
      <c r="BC12"/>
      <c r="BD12"/>
      <c r="BE12"/>
      <c r="BF12"/>
      <c r="BG12"/>
      <c r="BH12"/>
      <c r="BI12"/>
      <c r="BJ12"/>
      <c r="BK12"/>
      <c r="BL12"/>
      <c r="BM12"/>
      <c r="BN12"/>
      <c r="BO12" s="131"/>
      <c r="BP12" s="147"/>
      <c r="BQ12" s="147"/>
    </row>
    <row r="13" spans="1:69" ht="15.6" x14ac:dyDescent="0.3">
      <c r="A13" s="155"/>
      <c r="B13" s="155"/>
      <c r="C13" s="155"/>
      <c r="D13" s="155"/>
      <c r="E13" s="155"/>
      <c r="F13" s="155"/>
      <c r="G13" s="155"/>
      <c r="H13" s="155"/>
      <c r="I13" s="155"/>
      <c r="J13" s="155"/>
      <c r="K13" s="156"/>
      <c r="L13" s="155"/>
      <c r="M13" s="155"/>
      <c r="N13" s="155"/>
      <c r="O13" s="155"/>
      <c r="P13" s="156"/>
      <c r="Q13" s="155"/>
      <c r="R13" s="155"/>
      <c r="S13" s="155"/>
      <c r="T13" s="155"/>
      <c r="W13" s="10" t="s">
        <v>101</v>
      </c>
      <c r="X13" s="134">
        <v>19.333333333333332</v>
      </c>
      <c r="Y13"/>
      <c r="Z13" s="10" t="s">
        <v>101</v>
      </c>
      <c r="AA13" s="143">
        <v>0.7265172413793104</v>
      </c>
      <c r="AB13"/>
      <c r="AC13" s="10" t="s">
        <v>101</v>
      </c>
      <c r="AD13" s="143">
        <v>14.045999999999999</v>
      </c>
      <c r="AF13" s="10" t="s">
        <v>101</v>
      </c>
      <c r="AG13" s="143">
        <v>1.9979224137931035</v>
      </c>
      <c r="AI13" s="10" t="s">
        <v>101</v>
      </c>
      <c r="AJ13" s="143">
        <v>0.7265172413793104</v>
      </c>
      <c r="AK13"/>
      <c r="AL13" s="10" t="s">
        <v>101</v>
      </c>
      <c r="AM13" s="143">
        <v>24.580500000000001</v>
      </c>
      <c r="AN13" s="143"/>
      <c r="AO13" s="10" t="s">
        <v>101</v>
      </c>
      <c r="AP13" s="162">
        <v>0.63636363636363635</v>
      </c>
      <c r="AR13" s="9" t="s">
        <v>93</v>
      </c>
      <c r="AS13" s="144">
        <v>80.000166456647221</v>
      </c>
      <c r="AT13"/>
      <c r="AU13" s="9" t="s">
        <v>221</v>
      </c>
      <c r="AV13">
        <v>4</v>
      </c>
      <c r="AW13"/>
      <c r="AX13"/>
      <c r="AY13"/>
      <c r="AZ13"/>
      <c r="BA13"/>
      <c r="BB13"/>
      <c r="BC13"/>
      <c r="BD13"/>
      <c r="BE13"/>
      <c r="BF13"/>
      <c r="BG13"/>
      <c r="BH13"/>
      <c r="BI13"/>
      <c r="BJ13"/>
      <c r="BK13"/>
      <c r="BL13"/>
      <c r="BM13"/>
      <c r="BN13"/>
      <c r="BO13" s="131" t="s">
        <v>13</v>
      </c>
      <c r="BP13" s="152">
        <f>BP5-BP11</f>
        <v>1400.0418310231194</v>
      </c>
      <c r="BQ13" s="153"/>
    </row>
    <row r="14" spans="1:69" ht="15.6" x14ac:dyDescent="0.3">
      <c r="A14" s="155"/>
      <c r="B14" s="155"/>
      <c r="C14" s="155"/>
      <c r="D14" s="155"/>
      <c r="E14" s="155"/>
      <c r="F14" s="155"/>
      <c r="G14" s="155"/>
      <c r="H14" s="155"/>
      <c r="I14" s="155"/>
      <c r="J14" s="155"/>
      <c r="K14" s="156"/>
      <c r="L14" s="155"/>
      <c r="M14" s="155"/>
      <c r="N14" s="155"/>
      <c r="O14" s="155"/>
      <c r="P14" s="156"/>
      <c r="Q14" s="155"/>
      <c r="R14" s="155"/>
      <c r="S14" s="155"/>
      <c r="T14" s="155"/>
      <c r="W14" s="10" t="s">
        <v>121</v>
      </c>
      <c r="X14" s="134">
        <v>21.666666666666668</v>
      </c>
      <c r="Y14"/>
      <c r="Z14" s="10" t="s">
        <v>121</v>
      </c>
      <c r="AA14" s="143">
        <v>0.62423076923076926</v>
      </c>
      <c r="AB14"/>
      <c r="AC14" s="10" t="s">
        <v>121</v>
      </c>
      <c r="AD14" s="143">
        <v>13.525</v>
      </c>
      <c r="AF14" s="10" t="s">
        <v>121</v>
      </c>
      <c r="AG14" s="143">
        <v>1.6604538461538461</v>
      </c>
      <c r="AI14" s="10" t="s">
        <v>121</v>
      </c>
      <c r="AJ14" s="143">
        <v>0.62423076923076926</v>
      </c>
      <c r="AK14"/>
      <c r="AL14" s="10" t="s">
        <v>121</v>
      </c>
      <c r="AM14" s="143">
        <v>22.451499999999999</v>
      </c>
      <c r="AN14" s="143"/>
      <c r="AO14" s="10" t="s">
        <v>121</v>
      </c>
      <c r="AP14" s="162">
        <v>0.62406015037593987</v>
      </c>
      <c r="AR14" s="9" t="s">
        <v>221</v>
      </c>
      <c r="AS14" s="144">
        <v>80</v>
      </c>
      <c r="AT14"/>
      <c r="AU14" s="9" t="s">
        <v>93</v>
      </c>
      <c r="AV14">
        <v>4</v>
      </c>
      <c r="AW14"/>
      <c r="AX14"/>
      <c r="AY14"/>
      <c r="AZ14"/>
      <c r="BA14"/>
      <c r="BB14"/>
      <c r="BC14"/>
      <c r="BD14"/>
      <c r="BE14"/>
      <c r="BF14"/>
      <c r="BG14"/>
      <c r="BH14"/>
      <c r="BI14"/>
      <c r="BJ14"/>
      <c r="BK14"/>
      <c r="BL14"/>
      <c r="BM14"/>
      <c r="BN14"/>
      <c r="BO14" s="131"/>
      <c r="BP14" s="149"/>
      <c r="BQ14" s="147"/>
    </row>
    <row r="15" spans="1:69" ht="15.6" x14ac:dyDescent="0.3">
      <c r="A15" s="155"/>
      <c r="B15" s="155"/>
      <c r="C15" s="155"/>
      <c r="D15" s="155"/>
      <c r="E15" s="155"/>
      <c r="F15" s="155"/>
      <c r="G15" s="155"/>
      <c r="H15" s="155"/>
      <c r="I15" s="155"/>
      <c r="J15" s="155"/>
      <c r="K15" s="156"/>
      <c r="L15" s="155"/>
      <c r="M15" s="155"/>
      <c r="N15" s="155"/>
      <c r="O15" s="155"/>
      <c r="P15" s="156"/>
      <c r="Q15" s="155"/>
      <c r="R15" s="155"/>
      <c r="S15" s="155"/>
      <c r="T15" s="155"/>
      <c r="W15" s="10" t="s">
        <v>122</v>
      </c>
      <c r="X15" s="134">
        <v>22.777777777777779</v>
      </c>
      <c r="Y15"/>
      <c r="Z15" s="10" t="s">
        <v>122</v>
      </c>
      <c r="AA15" s="143">
        <v>1.2151390243902438</v>
      </c>
      <c r="AB15"/>
      <c r="AC15" s="10" t="s">
        <v>122</v>
      </c>
      <c r="AD15" s="143">
        <v>27.678166666666666</v>
      </c>
      <c r="AF15" s="10" t="s">
        <v>122</v>
      </c>
      <c r="AG15" s="143">
        <v>2.0049793902439021</v>
      </c>
      <c r="AI15" s="10" t="s">
        <v>122</v>
      </c>
      <c r="AJ15" s="143">
        <v>1.2151390243902438</v>
      </c>
      <c r="AK15"/>
      <c r="AL15" s="10" t="s">
        <v>122</v>
      </c>
      <c r="AM15" s="143">
        <v>17.990808333333334</v>
      </c>
      <c r="AN15" s="143"/>
      <c r="AO15" s="10" t="s">
        <v>122</v>
      </c>
      <c r="AP15" s="162">
        <v>0.39393939393939398</v>
      </c>
      <c r="AR15" s="9" t="s">
        <v>109</v>
      </c>
      <c r="AS15" s="144">
        <v>70.000166456647221</v>
      </c>
      <c r="AT15"/>
      <c r="AU15" s="9" t="s">
        <v>183</v>
      </c>
      <c r="AV15">
        <v>3</v>
      </c>
      <c r="AW15"/>
      <c r="AX15"/>
      <c r="AY15"/>
      <c r="AZ15"/>
      <c r="BA15"/>
      <c r="BB15"/>
      <c r="BC15"/>
      <c r="BD15"/>
      <c r="BE15"/>
      <c r="BF15"/>
      <c r="BG15"/>
      <c r="BH15"/>
      <c r="BI15"/>
      <c r="BJ15"/>
      <c r="BK15"/>
      <c r="BL15"/>
      <c r="BM15"/>
      <c r="BN15"/>
      <c r="BO15" s="131" t="s">
        <v>115</v>
      </c>
      <c r="BP15" s="152">
        <f>BP3-(BP11)</f>
        <v>1505.0418310231194</v>
      </c>
    </row>
    <row r="16" spans="1:69" ht="15.6" x14ac:dyDescent="0.3">
      <c r="A16" s="155"/>
      <c r="B16" s="155"/>
      <c r="C16" s="155"/>
      <c r="D16" s="155"/>
      <c r="E16" s="155"/>
      <c r="F16" s="155"/>
      <c r="G16" s="155"/>
      <c r="H16" s="155"/>
      <c r="I16" s="155"/>
      <c r="J16" s="155"/>
      <c r="K16" s="156"/>
      <c r="L16" s="155"/>
      <c r="M16" s="155"/>
      <c r="N16" s="155"/>
      <c r="O16" s="155"/>
      <c r="P16" s="156"/>
      <c r="Q16" s="155"/>
      <c r="R16" s="155"/>
      <c r="S16" s="155"/>
      <c r="T16" s="155"/>
      <c r="W16" s="10" t="s">
        <v>75</v>
      </c>
      <c r="X16" s="134">
        <v>20.555555555555557</v>
      </c>
      <c r="Y16"/>
      <c r="Z16" s="10" t="s">
        <v>75</v>
      </c>
      <c r="AA16" s="143">
        <v>0.72162162162162169</v>
      </c>
      <c r="AB16"/>
      <c r="AC16" s="10" t="s">
        <v>75</v>
      </c>
      <c r="AD16" s="143">
        <v>14.833333333333336</v>
      </c>
      <c r="AF16" s="10" t="s">
        <v>75</v>
      </c>
      <c r="AG16" s="143">
        <v>1.65972972972973</v>
      </c>
      <c r="AI16" s="10" t="s">
        <v>75</v>
      </c>
      <c r="AJ16" s="143">
        <v>0.72162162162162169</v>
      </c>
      <c r="AK16"/>
      <c r="AL16" s="10" t="s">
        <v>75</v>
      </c>
      <c r="AM16" s="143">
        <v>19.283333333333335</v>
      </c>
      <c r="AO16" s="10" t="s">
        <v>75</v>
      </c>
      <c r="AP16" s="162">
        <v>0.56521739130434778</v>
      </c>
      <c r="AR16" s="9" t="s">
        <v>243</v>
      </c>
      <c r="AS16" s="144">
        <v>70</v>
      </c>
      <c r="AT16"/>
      <c r="AU16" s="9" t="s">
        <v>190</v>
      </c>
      <c r="AV16">
        <v>3</v>
      </c>
      <c r="AW16"/>
      <c r="AX16"/>
      <c r="AY16"/>
      <c r="AZ16"/>
      <c r="BA16"/>
      <c r="BB16"/>
      <c r="BC16"/>
      <c r="BD16"/>
      <c r="BE16"/>
      <c r="BF16"/>
      <c r="BG16"/>
      <c r="BH16"/>
      <c r="BI16"/>
      <c r="BJ16"/>
      <c r="BK16"/>
      <c r="BL16"/>
      <c r="BM16"/>
      <c r="BN16"/>
      <c r="BO16" s="131" t="s">
        <v>149</v>
      </c>
      <c r="BP16" s="154">
        <f>BP15/BP3</f>
        <v>0.38384114465725816</v>
      </c>
      <c r="BQ16" s="147"/>
    </row>
    <row r="17" spans="1:69" x14ac:dyDescent="0.3">
      <c r="A17" s="155"/>
      <c r="B17" s="155"/>
      <c r="C17" s="155"/>
      <c r="D17" s="155"/>
      <c r="E17" s="155"/>
      <c r="F17" s="155"/>
      <c r="G17" s="155"/>
      <c r="H17" s="155"/>
      <c r="I17" s="155"/>
      <c r="J17" s="155"/>
      <c r="K17" s="156"/>
      <c r="L17" s="155"/>
      <c r="M17" s="155"/>
      <c r="N17" s="155"/>
      <c r="O17" s="155"/>
      <c r="P17" s="156"/>
      <c r="Q17" s="155"/>
      <c r="R17" s="155"/>
      <c r="S17" s="155"/>
      <c r="T17" s="155"/>
      <c r="W17" s="10" t="s">
        <v>123</v>
      </c>
      <c r="X17" s="134">
        <v>37.555555555555557</v>
      </c>
      <c r="Y17"/>
      <c r="Z17" s="10" t="s">
        <v>123</v>
      </c>
      <c r="AA17" s="143">
        <v>0.68573964497041417</v>
      </c>
      <c r="AB17"/>
      <c r="AC17" s="10" t="s">
        <v>123</v>
      </c>
      <c r="AD17" s="143">
        <v>25.753333333333334</v>
      </c>
      <c r="AF17" s="10" t="s">
        <v>123</v>
      </c>
      <c r="AG17" s="143">
        <v>1.6594899408284023</v>
      </c>
      <c r="AI17" s="10" t="s">
        <v>123</v>
      </c>
      <c r="AJ17" s="143">
        <v>0.68573964497041417</v>
      </c>
      <c r="AK17"/>
      <c r="AL17" s="10" t="s">
        <v>123</v>
      </c>
      <c r="AM17" s="143">
        <v>18.284866666666666</v>
      </c>
      <c r="AO17" s="10" t="s">
        <v>123</v>
      </c>
      <c r="AP17" s="162">
        <v>0.58677685950413228</v>
      </c>
      <c r="AR17" s="9" t="s">
        <v>250</v>
      </c>
      <c r="AS17" s="144">
        <v>70</v>
      </c>
      <c r="AT17"/>
      <c r="AU17" s="9" t="s">
        <v>96</v>
      </c>
      <c r="AV17">
        <v>3</v>
      </c>
      <c r="AW17"/>
      <c r="AX17"/>
      <c r="AY17"/>
      <c r="AZ17"/>
      <c r="BA17"/>
      <c r="BB17"/>
      <c r="BC17"/>
      <c r="BD17"/>
      <c r="BE17"/>
      <c r="BF17"/>
      <c r="BG17"/>
      <c r="BH17"/>
      <c r="BI17"/>
      <c r="BJ17"/>
      <c r="BK17"/>
      <c r="BL17"/>
      <c r="BM17"/>
      <c r="BN17"/>
      <c r="BO17" s="166" t="s">
        <v>59</v>
      </c>
      <c r="BP17" s="165">
        <f>BP13+BP7</f>
        <v>1295.0418310231194</v>
      </c>
      <c r="BQ17" s="147"/>
    </row>
    <row r="18" spans="1:69" x14ac:dyDescent="0.3">
      <c r="A18" s="155"/>
      <c r="B18" s="155"/>
      <c r="C18" s="155"/>
      <c r="D18" s="155"/>
      <c r="E18" s="155"/>
      <c r="F18" s="155"/>
      <c r="G18" s="155"/>
      <c r="H18" s="155"/>
      <c r="I18" s="155"/>
      <c r="J18" s="155"/>
      <c r="K18" s="156"/>
      <c r="L18" s="155"/>
      <c r="M18" s="155"/>
      <c r="N18" s="155"/>
      <c r="O18" s="155"/>
      <c r="P18" s="156"/>
      <c r="Q18" s="155"/>
      <c r="R18" s="155"/>
      <c r="S18" s="155"/>
      <c r="T18" s="155"/>
      <c r="W18" s="10" t="s">
        <v>124</v>
      </c>
      <c r="X18" s="134">
        <v>18.777777777777779</v>
      </c>
      <c r="Y18"/>
      <c r="Z18" s="10" t="s">
        <v>124</v>
      </c>
      <c r="AA18" s="143">
        <v>0.96109065088757395</v>
      </c>
      <c r="AB18"/>
      <c r="AC18" s="10" t="s">
        <v>124</v>
      </c>
      <c r="AD18" s="143">
        <v>18.047146666666666</v>
      </c>
      <c r="AF18" s="10" t="s">
        <v>124</v>
      </c>
      <c r="AG18" s="143">
        <v>1.9990685538461537</v>
      </c>
      <c r="AI18" s="10" t="s">
        <v>124</v>
      </c>
      <c r="AJ18" s="143">
        <v>0.96109065088757395</v>
      </c>
      <c r="AK18"/>
      <c r="AL18" s="10" t="s">
        <v>124</v>
      </c>
      <c r="AM18" s="143">
        <v>19.490918399999998</v>
      </c>
      <c r="AO18" s="10" t="s">
        <v>124</v>
      </c>
      <c r="AP18" s="162">
        <v>0.51923076923076927</v>
      </c>
      <c r="AR18" s="9" t="s">
        <v>113</v>
      </c>
      <c r="AS18" s="144">
        <v>65.000166456647221</v>
      </c>
      <c r="AT18"/>
      <c r="AU18" s="9" t="s">
        <v>111</v>
      </c>
      <c r="AV18">
        <v>3</v>
      </c>
      <c r="AW18"/>
      <c r="AX18"/>
      <c r="AY18"/>
      <c r="AZ18"/>
      <c r="BA18"/>
      <c r="BB18"/>
      <c r="BC18"/>
      <c r="BD18"/>
      <c r="BE18"/>
      <c r="BF18"/>
      <c r="BG18"/>
      <c r="BH18"/>
      <c r="BI18"/>
      <c r="BJ18"/>
      <c r="BK18"/>
      <c r="BL18"/>
      <c r="BM18"/>
      <c r="BN18"/>
      <c r="BO18" s="166"/>
      <c r="BP18" s="165"/>
      <c r="BQ18" s="147"/>
    </row>
    <row r="19" spans="1:69" x14ac:dyDescent="0.3">
      <c r="A19" s="155"/>
      <c r="B19" s="155"/>
      <c r="C19" s="155"/>
      <c r="D19" s="155"/>
      <c r="E19" s="155"/>
      <c r="F19" s="155"/>
      <c r="G19" s="155"/>
      <c r="H19" s="155"/>
      <c r="I19" s="155"/>
      <c r="J19" s="155"/>
      <c r="K19" s="156"/>
      <c r="L19" s="155"/>
      <c r="M19" s="155"/>
      <c r="N19" s="155"/>
      <c r="O19" s="155"/>
      <c r="P19" s="156"/>
      <c r="Q19" s="155"/>
      <c r="R19" s="155"/>
      <c r="S19" s="155"/>
      <c r="T19" s="155"/>
      <c r="W19" s="10" t="s">
        <v>125</v>
      </c>
      <c r="X19" s="134">
        <v>18.777777777777779</v>
      </c>
      <c r="Y19"/>
      <c r="Z19" s="10" t="s">
        <v>125</v>
      </c>
      <c r="AA19" s="143">
        <v>0.80437349112426026</v>
      </c>
      <c r="AB19"/>
      <c r="AC19" s="10" t="s">
        <v>125</v>
      </c>
      <c r="AD19" s="143">
        <v>15.104346666666666</v>
      </c>
      <c r="AF19" s="10" t="s">
        <v>125</v>
      </c>
      <c r="AG19" s="143">
        <v>2.0028899928994082</v>
      </c>
      <c r="AI19" s="10" t="s">
        <v>125</v>
      </c>
      <c r="AJ19" s="143">
        <v>0.80437349112426026</v>
      </c>
      <c r="AK19"/>
      <c r="AL19" s="10" t="s">
        <v>125</v>
      </c>
      <c r="AM19" s="143">
        <v>22.505476533333333</v>
      </c>
      <c r="AO19" s="10" t="s">
        <v>125</v>
      </c>
      <c r="AP19" s="162">
        <v>0.59839357429718876</v>
      </c>
      <c r="AR19" s="9" t="s">
        <v>111</v>
      </c>
      <c r="AS19" s="144">
        <v>60.000332913294436</v>
      </c>
      <c r="AT19"/>
      <c r="AU19" s="9" t="s">
        <v>243</v>
      </c>
      <c r="AV19">
        <v>3</v>
      </c>
      <c r="AW19"/>
      <c r="AX19"/>
      <c r="AY19"/>
      <c r="AZ19"/>
      <c r="BA19"/>
      <c r="BB19"/>
      <c r="BC19"/>
      <c r="BD19"/>
      <c r="BE19"/>
      <c r="BF19"/>
      <c r="BG19"/>
      <c r="BH19"/>
      <c r="BI19"/>
      <c r="BJ19"/>
      <c r="BK19"/>
      <c r="BL19"/>
      <c r="BM19"/>
      <c r="BN19"/>
    </row>
    <row r="20" spans="1:69" x14ac:dyDescent="0.3">
      <c r="A20" s="155"/>
      <c r="B20" s="155"/>
      <c r="C20" s="155"/>
      <c r="D20" s="155"/>
      <c r="E20" s="155"/>
      <c r="F20" s="155"/>
      <c r="G20" s="155"/>
      <c r="H20" s="155"/>
      <c r="I20" s="155"/>
      <c r="J20" s="155"/>
      <c r="K20" s="156"/>
      <c r="L20" s="155"/>
      <c r="M20" s="155"/>
      <c r="N20" s="155"/>
      <c r="O20" s="155"/>
      <c r="P20" s="156"/>
      <c r="Q20" s="155"/>
      <c r="R20" s="155"/>
      <c r="S20" s="155"/>
      <c r="T20" s="155"/>
      <c r="W20" s="10" t="s">
        <v>126</v>
      </c>
      <c r="X20" s="134">
        <v>18.777777777777779</v>
      </c>
      <c r="Y20"/>
      <c r="Z20" s="10" t="s">
        <v>126</v>
      </c>
      <c r="AA20" s="143">
        <v>0.80050295857988163</v>
      </c>
      <c r="AB20"/>
      <c r="AC20" s="10" t="s">
        <v>126</v>
      </c>
      <c r="AD20" s="143">
        <v>15.031666666666666</v>
      </c>
      <c r="AF20" s="10" t="s">
        <v>126</v>
      </c>
      <c r="AG20" s="143">
        <v>2.001257396449704</v>
      </c>
      <c r="AI20" s="10" t="s">
        <v>126</v>
      </c>
      <c r="AJ20" s="143">
        <v>0.80050295857988163</v>
      </c>
      <c r="AK20"/>
      <c r="AL20" s="10" t="s">
        <v>126</v>
      </c>
      <c r="AM20" s="143">
        <v>22.547500000000003</v>
      </c>
      <c r="AO20" s="10" t="s">
        <v>126</v>
      </c>
      <c r="AP20" s="162">
        <v>0.60000000000000009</v>
      </c>
      <c r="AR20" s="9" t="s">
        <v>117</v>
      </c>
      <c r="AS20" s="144">
        <v>60</v>
      </c>
      <c r="AU20" s="9" t="s">
        <v>117</v>
      </c>
      <c r="AV20">
        <v>3</v>
      </c>
      <c r="AW20"/>
      <c r="AX20"/>
      <c r="AY20"/>
      <c r="AZ20"/>
      <c r="BA20"/>
      <c r="BB20"/>
      <c r="BC20"/>
      <c r="BD20"/>
      <c r="BE20"/>
      <c r="BF20"/>
      <c r="BG20"/>
      <c r="BH20"/>
      <c r="BI20"/>
      <c r="BJ20"/>
      <c r="BK20"/>
      <c r="BL20"/>
      <c r="BM20"/>
      <c r="BN20"/>
    </row>
    <row r="21" spans="1:69" x14ac:dyDescent="0.3">
      <c r="A21" s="155"/>
      <c r="B21" s="155"/>
      <c r="C21" s="155"/>
      <c r="D21" s="155"/>
      <c r="E21" s="155"/>
      <c r="F21" s="155"/>
      <c r="G21" s="155"/>
      <c r="H21" s="155"/>
      <c r="I21" s="155"/>
      <c r="J21" s="155"/>
      <c r="K21" s="156"/>
      <c r="L21" s="155"/>
      <c r="M21" s="155"/>
      <c r="N21" s="155"/>
      <c r="O21" s="155"/>
      <c r="P21" s="156"/>
      <c r="Q21" s="155"/>
      <c r="R21" s="155"/>
      <c r="S21" s="155"/>
      <c r="T21" s="155"/>
      <c r="W21" s="10" t="s">
        <v>127</v>
      </c>
      <c r="X21" s="134">
        <v>18.777777777777779</v>
      </c>
      <c r="Z21" s="10" t="s">
        <v>127</v>
      </c>
      <c r="AA21" s="143">
        <v>0.75486246601631213</v>
      </c>
      <c r="AB21"/>
      <c r="AC21" s="10" t="s">
        <v>127</v>
      </c>
      <c r="AD21" s="143">
        <v>14.17463963963964</v>
      </c>
      <c r="AF21" s="10" t="s">
        <v>127</v>
      </c>
      <c r="AG21" s="143">
        <v>2.0003855349432271</v>
      </c>
      <c r="AI21" s="10" t="s">
        <v>127</v>
      </c>
      <c r="AJ21" s="143">
        <v>0.75486246601631213</v>
      </c>
      <c r="AK21"/>
      <c r="AL21" s="10" t="s">
        <v>127</v>
      </c>
      <c r="AM21" s="143">
        <v>23.388155405405406</v>
      </c>
      <c r="AO21" s="10" t="s">
        <v>127</v>
      </c>
      <c r="AP21" s="162">
        <v>0.62264150943396224</v>
      </c>
      <c r="AR21" s="9" t="s">
        <v>96</v>
      </c>
      <c r="AS21" s="144">
        <v>60</v>
      </c>
      <c r="AU21" s="9" t="s">
        <v>193</v>
      </c>
      <c r="AV21">
        <v>3</v>
      </c>
      <c r="AW21"/>
      <c r="AX21"/>
      <c r="AY21"/>
      <c r="AZ21"/>
      <c r="BA21"/>
      <c r="BB21"/>
      <c r="BC21"/>
      <c r="BE21"/>
      <c r="BF21"/>
      <c r="BG21"/>
      <c r="BH21"/>
      <c r="BI21"/>
      <c r="BJ21"/>
      <c r="BK21"/>
      <c r="BL21"/>
      <c r="BM21"/>
      <c r="BN21"/>
    </row>
    <row r="22" spans="1:69" x14ac:dyDescent="0.3">
      <c r="A22" s="155"/>
      <c r="B22" s="155"/>
      <c r="C22" s="155"/>
      <c r="D22" s="155"/>
      <c r="E22" s="155"/>
      <c r="F22" s="155"/>
      <c r="G22" s="155"/>
      <c r="H22" s="155"/>
      <c r="I22" s="155"/>
      <c r="J22" s="155"/>
      <c r="K22" s="156"/>
      <c r="L22" s="155"/>
      <c r="M22" s="155"/>
      <c r="N22" s="155"/>
      <c r="O22" s="155"/>
      <c r="P22" s="156"/>
      <c r="Q22" s="155"/>
      <c r="R22" s="155"/>
      <c r="S22" s="155"/>
      <c r="T22" s="155"/>
      <c r="W22" s="10" t="s">
        <v>128</v>
      </c>
      <c r="X22" s="134">
        <v>18.777777777777779</v>
      </c>
      <c r="Z22" s="10" t="s">
        <v>128</v>
      </c>
      <c r="AA22" s="143">
        <v>1.4375325443786979</v>
      </c>
      <c r="AB22"/>
      <c r="AC22" s="10" t="s">
        <v>128</v>
      </c>
      <c r="AD22" s="143">
        <v>26.993666666666662</v>
      </c>
      <c r="AF22" s="10" t="s">
        <v>128</v>
      </c>
      <c r="AG22" s="143">
        <v>1.99817023668639</v>
      </c>
      <c r="AI22" s="10" t="s">
        <v>128</v>
      </c>
      <c r="AJ22" s="143">
        <v>1.4375325443786979</v>
      </c>
      <c r="AK22"/>
      <c r="AL22" s="10" t="s">
        <v>128</v>
      </c>
      <c r="AM22" s="143">
        <v>10.527529999999999</v>
      </c>
      <c r="AO22" s="10" t="s">
        <v>128</v>
      </c>
      <c r="AP22" s="162">
        <v>0.28057553956834536</v>
      </c>
      <c r="AR22" s="9" t="s">
        <v>190</v>
      </c>
      <c r="AS22" s="144">
        <v>60</v>
      </c>
      <c r="AU22" s="9" t="s">
        <v>201</v>
      </c>
      <c r="AV22">
        <v>2</v>
      </c>
      <c r="AW22"/>
      <c r="AX22"/>
      <c r="AY22"/>
      <c r="AZ22"/>
      <c r="BA22"/>
      <c r="BB22"/>
      <c r="BC22"/>
      <c r="BE22"/>
      <c r="BF22"/>
      <c r="BG22"/>
      <c r="BH22"/>
      <c r="BI22"/>
      <c r="BJ22"/>
      <c r="BK22"/>
      <c r="BL22"/>
      <c r="BM22"/>
      <c r="BN22"/>
    </row>
    <row r="23" spans="1:69" x14ac:dyDescent="0.3">
      <c r="A23" s="155"/>
      <c r="B23" s="155"/>
      <c r="C23" s="155"/>
      <c r="D23" s="155"/>
      <c r="E23" s="155"/>
      <c r="F23" s="155"/>
      <c r="G23" s="155"/>
      <c r="H23" s="155"/>
      <c r="I23" s="155"/>
      <c r="J23" s="155"/>
      <c r="K23" s="156"/>
      <c r="L23" s="155"/>
      <c r="M23" s="155"/>
      <c r="N23" s="155"/>
      <c r="O23" s="155"/>
      <c r="P23" s="156"/>
      <c r="Q23" s="155"/>
      <c r="R23" s="155"/>
      <c r="S23" s="155"/>
      <c r="T23" s="155"/>
      <c r="W23" s="10" t="s">
        <v>129</v>
      </c>
      <c r="X23" s="134">
        <v>18.777777777777779</v>
      </c>
      <c r="Z23" s="10" t="s">
        <v>129</v>
      </c>
      <c r="AA23" s="143">
        <v>0.77597928994082832</v>
      </c>
      <c r="AB23"/>
      <c r="AC23" s="10" t="s">
        <v>129</v>
      </c>
      <c r="AD23" s="143">
        <v>14.571166666666667</v>
      </c>
      <c r="AF23" s="10" t="s">
        <v>129</v>
      </c>
      <c r="AG23" s="143">
        <v>2.002026568047337</v>
      </c>
      <c r="AI23" s="10" t="s">
        <v>129</v>
      </c>
      <c r="AJ23" s="143">
        <v>0.77597928994082832</v>
      </c>
      <c r="AK23"/>
      <c r="AL23" s="10" t="s">
        <v>129</v>
      </c>
      <c r="AM23" s="143">
        <v>23.022443333333332</v>
      </c>
      <c r="AO23" s="10" t="s">
        <v>129</v>
      </c>
      <c r="AP23" s="162">
        <v>0.61240310077519389</v>
      </c>
      <c r="AR23" s="9" t="s">
        <v>183</v>
      </c>
      <c r="AS23" s="144">
        <v>60</v>
      </c>
      <c r="AU23" s="9" t="s">
        <v>192</v>
      </c>
      <c r="AV23">
        <v>2</v>
      </c>
      <c r="AW23"/>
      <c r="AX23"/>
      <c r="AY23"/>
      <c r="AZ23"/>
      <c r="BA23"/>
      <c r="BB23"/>
      <c r="BC23"/>
      <c r="BE23"/>
      <c r="BF23"/>
      <c r="BG23"/>
      <c r="BH23"/>
      <c r="BI23"/>
      <c r="BJ23"/>
      <c r="BK23"/>
      <c r="BL23"/>
      <c r="BM23"/>
      <c r="BN23"/>
    </row>
    <row r="24" spans="1:69" x14ac:dyDescent="0.3">
      <c r="A24" s="155"/>
      <c r="B24" s="155"/>
      <c r="C24" s="155"/>
      <c r="D24" s="155"/>
      <c r="E24" s="155"/>
      <c r="F24" s="155"/>
      <c r="G24" s="155"/>
      <c r="H24" s="155"/>
      <c r="I24" s="155"/>
      <c r="J24" s="155"/>
      <c r="K24" s="156"/>
      <c r="L24" s="155"/>
      <c r="M24" s="155"/>
      <c r="N24" s="155"/>
      <c r="O24" s="155"/>
      <c r="P24" s="156"/>
      <c r="Q24" s="155"/>
      <c r="R24" s="155"/>
      <c r="S24" s="155"/>
      <c r="T24" s="155"/>
      <c r="W24" s="10" t="s">
        <v>130</v>
      </c>
      <c r="X24" s="134">
        <v>18.777777777777779</v>
      </c>
      <c r="Z24" s="10" t="s">
        <v>130</v>
      </c>
      <c r="AA24" s="143">
        <v>0.7789242603550296</v>
      </c>
      <c r="AB24"/>
      <c r="AC24" s="10" t="s">
        <v>130</v>
      </c>
      <c r="AD24" s="143">
        <v>14.626466666666667</v>
      </c>
      <c r="AF24" s="10" t="s">
        <v>130</v>
      </c>
      <c r="AG24" s="143">
        <v>2.0018353491124263</v>
      </c>
      <c r="AI24" s="10" t="s">
        <v>130</v>
      </c>
      <c r="AJ24" s="143">
        <v>0.7789242603550296</v>
      </c>
      <c r="AK24"/>
      <c r="AL24" s="10" t="s">
        <v>130</v>
      </c>
      <c r="AM24" s="143">
        <v>22.963552666666672</v>
      </c>
      <c r="AO24" s="10" t="s">
        <v>130</v>
      </c>
      <c r="AP24" s="162">
        <v>0.6108949416342413</v>
      </c>
      <c r="AR24" s="9" t="s">
        <v>193</v>
      </c>
      <c r="AS24" s="144">
        <v>60</v>
      </c>
      <c r="AU24" s="9" t="s">
        <v>242</v>
      </c>
      <c r="AV24">
        <v>2</v>
      </c>
      <c r="AW24"/>
      <c r="AX24"/>
      <c r="AY24"/>
      <c r="AZ24"/>
      <c r="BA24"/>
      <c r="BB24"/>
      <c r="BC24"/>
      <c r="BE24"/>
      <c r="BF24"/>
      <c r="BG24"/>
      <c r="BH24"/>
      <c r="BI24"/>
      <c r="BJ24"/>
      <c r="BK24"/>
      <c r="BL24"/>
      <c r="BM24"/>
      <c r="BN24"/>
    </row>
    <row r="25" spans="1:69" x14ac:dyDescent="0.3">
      <c r="A25" s="155"/>
      <c r="B25" s="155"/>
      <c r="C25" s="155"/>
      <c r="D25" s="155"/>
      <c r="E25" s="155"/>
      <c r="F25" s="155"/>
      <c r="G25" s="155"/>
      <c r="H25" s="155"/>
      <c r="I25" s="155"/>
      <c r="J25" s="155"/>
      <c r="K25" s="156"/>
      <c r="L25" s="155"/>
      <c r="M25" s="155"/>
      <c r="N25" s="155"/>
      <c r="O25" s="155"/>
      <c r="P25" s="156"/>
      <c r="Q25" s="155"/>
      <c r="R25" s="155"/>
      <c r="S25" s="155"/>
      <c r="T25" s="155"/>
      <c r="W25" s="10" t="s">
        <v>131</v>
      </c>
      <c r="X25" s="134">
        <v>56.666666666666664</v>
      </c>
      <c r="Z25" s="10" t="s">
        <v>131</v>
      </c>
      <c r="AA25" s="143">
        <v>0.6638235294117647</v>
      </c>
      <c r="AB25"/>
      <c r="AC25" s="10" t="s">
        <v>131</v>
      </c>
      <c r="AD25" s="143">
        <v>37.616666666666667</v>
      </c>
      <c r="AF25" s="10" t="s">
        <v>131</v>
      </c>
      <c r="AG25" s="143">
        <v>1.9981088235294115</v>
      </c>
      <c r="AI25" s="10" t="s">
        <v>131</v>
      </c>
      <c r="AJ25" s="143">
        <v>0.6638235294117647</v>
      </c>
      <c r="AK25"/>
      <c r="AL25" s="10" t="s">
        <v>131</v>
      </c>
      <c r="AM25" s="143">
        <v>50.554587254901946</v>
      </c>
      <c r="AO25" s="10" t="s">
        <v>131</v>
      </c>
      <c r="AP25" s="162">
        <v>0.66777408637873747</v>
      </c>
      <c r="AR25" s="9" t="s">
        <v>242</v>
      </c>
      <c r="AS25" s="144">
        <v>50</v>
      </c>
      <c r="AU25" s="9" t="s">
        <v>113</v>
      </c>
      <c r="AV25">
        <v>2</v>
      </c>
      <c r="AW25"/>
      <c r="AX25"/>
      <c r="AY25"/>
      <c r="AZ25"/>
      <c r="BA25"/>
      <c r="BB25"/>
      <c r="BC25"/>
    </row>
    <row r="26" spans="1:69" x14ac:dyDescent="0.3">
      <c r="A26" s="155"/>
      <c r="B26" s="155"/>
      <c r="C26" s="155"/>
      <c r="D26" s="155"/>
      <c r="E26" s="155"/>
      <c r="F26" s="155"/>
      <c r="G26" s="155"/>
      <c r="H26" s="155"/>
      <c r="I26" s="155"/>
      <c r="J26" s="155"/>
      <c r="K26" s="156"/>
      <c r="L26" s="155"/>
      <c r="M26" s="155"/>
      <c r="N26" s="155"/>
      <c r="O26" s="155"/>
      <c r="P26" s="156"/>
      <c r="Q26" s="155"/>
      <c r="R26" s="155"/>
      <c r="S26" s="155"/>
      <c r="T26" s="155"/>
      <c r="W26" s="10" t="s">
        <v>132</v>
      </c>
      <c r="X26" s="134">
        <v>18.777777777777779</v>
      </c>
      <c r="Z26" s="10" t="s">
        <v>132</v>
      </c>
      <c r="AA26" s="143">
        <v>0.89346745562130159</v>
      </c>
      <c r="AB26"/>
      <c r="AC26" s="10" t="s">
        <v>132</v>
      </c>
      <c r="AD26" s="143">
        <v>16.777333333333331</v>
      </c>
      <c r="AF26" s="10" t="s">
        <v>132</v>
      </c>
      <c r="AG26" s="143">
        <v>2.0013671005917155</v>
      </c>
      <c r="AI26" s="10" t="s">
        <v>132</v>
      </c>
      <c r="AJ26" s="143">
        <v>0.89346745562130159</v>
      </c>
      <c r="AK26"/>
      <c r="AL26" s="10" t="s">
        <v>132</v>
      </c>
      <c r="AM26" s="143">
        <v>20.803893333333328</v>
      </c>
      <c r="AO26" s="10" t="s">
        <v>132</v>
      </c>
      <c r="AP26" s="162">
        <v>0.5535714285714286</v>
      </c>
      <c r="AR26" s="9" t="s">
        <v>262</v>
      </c>
      <c r="AS26" s="144">
        <v>50</v>
      </c>
      <c r="AU26" s="9" t="s">
        <v>109</v>
      </c>
      <c r="AV26">
        <v>2</v>
      </c>
      <c r="AW26"/>
      <c r="AX26"/>
      <c r="AY26"/>
      <c r="AZ26"/>
      <c r="BA26"/>
      <c r="BB26"/>
      <c r="BC26"/>
    </row>
    <row r="27" spans="1:69" x14ac:dyDescent="0.3">
      <c r="A27" s="155"/>
      <c r="B27" s="155"/>
      <c r="C27" s="155"/>
      <c r="D27" s="155"/>
      <c r="E27" s="155"/>
      <c r="F27" s="155"/>
      <c r="G27" s="155"/>
      <c r="H27" s="155"/>
      <c r="I27" s="155"/>
      <c r="J27" s="155"/>
      <c r="K27" s="156"/>
      <c r="L27" s="155"/>
      <c r="M27" s="155"/>
      <c r="N27" s="155"/>
      <c r="O27" s="155"/>
      <c r="P27" s="156"/>
      <c r="Q27" s="155"/>
      <c r="R27" s="155"/>
      <c r="S27" s="155"/>
      <c r="T27" s="155"/>
      <c r="W27" s="10" t="s">
        <v>133</v>
      </c>
      <c r="X27" s="134">
        <v>18.777777777777779</v>
      </c>
      <c r="Z27" s="10" t="s">
        <v>133</v>
      </c>
      <c r="AA27" s="143">
        <v>1.0760946745562128</v>
      </c>
      <c r="AB27"/>
      <c r="AC27" s="10" t="s">
        <v>133</v>
      </c>
      <c r="AD27" s="143">
        <v>20.206666666666663</v>
      </c>
      <c r="AF27" s="10" t="s">
        <v>133</v>
      </c>
      <c r="AG27" s="143">
        <v>2.001536094674556</v>
      </c>
      <c r="AI27" s="10" t="s">
        <v>133</v>
      </c>
      <c r="AJ27" s="143">
        <v>1.0760946745562128</v>
      </c>
      <c r="AK27"/>
      <c r="AL27" s="10" t="s">
        <v>133</v>
      </c>
      <c r="AM27" s="143">
        <v>17.377733333333328</v>
      </c>
      <c r="AO27" s="10" t="s">
        <v>133</v>
      </c>
      <c r="AP27" s="162">
        <v>0.46236559139784938</v>
      </c>
      <c r="AR27" s="9" t="s">
        <v>260</v>
      </c>
      <c r="AS27" s="144">
        <v>50</v>
      </c>
      <c r="AU27" s="9" t="s">
        <v>97</v>
      </c>
      <c r="AV27">
        <v>2</v>
      </c>
      <c r="AW27"/>
      <c r="AX27"/>
      <c r="AY27"/>
      <c r="AZ27"/>
      <c r="BA27"/>
      <c r="BB27"/>
      <c r="BC27"/>
    </row>
    <row r="28" spans="1:69" x14ac:dyDescent="0.3">
      <c r="A28" s="155"/>
      <c r="B28" s="155"/>
      <c r="C28" s="155"/>
      <c r="D28" s="155"/>
      <c r="E28" s="155"/>
      <c r="F28" s="155"/>
      <c r="G28" s="155"/>
      <c r="H28" s="155"/>
      <c r="I28" s="155"/>
      <c r="J28" s="155"/>
      <c r="K28" s="156"/>
      <c r="L28" s="155"/>
      <c r="M28" s="155"/>
      <c r="N28" s="155"/>
      <c r="O28" s="155"/>
      <c r="P28" s="156"/>
      <c r="Q28" s="155"/>
      <c r="R28" s="155"/>
      <c r="S28" s="155"/>
      <c r="T28" s="155"/>
      <c r="W28" s="10" t="s">
        <v>134</v>
      </c>
      <c r="X28" s="134">
        <v>18.777777777777779</v>
      </c>
      <c r="Z28" s="10" t="s">
        <v>134</v>
      </c>
      <c r="AA28" s="143">
        <v>0.85273034657650038</v>
      </c>
      <c r="AB28"/>
      <c r="AC28" s="10" t="s">
        <v>134</v>
      </c>
      <c r="AD28" s="143">
        <v>16.012380952380951</v>
      </c>
      <c r="AF28" s="10" t="s">
        <v>134</v>
      </c>
      <c r="AG28" s="143">
        <v>2.0039163144547762</v>
      </c>
      <c r="AI28" s="10" t="s">
        <v>134</v>
      </c>
      <c r="AJ28" s="143">
        <v>0.85273034657650038</v>
      </c>
      <c r="AK28"/>
      <c r="AL28" s="10" t="s">
        <v>134</v>
      </c>
      <c r="AM28" s="143">
        <v>21.616714285714288</v>
      </c>
      <c r="AO28" s="10" t="s">
        <v>134</v>
      </c>
      <c r="AP28" s="162">
        <v>0.57446808510638292</v>
      </c>
      <c r="AR28" s="9" t="s">
        <v>95</v>
      </c>
      <c r="AS28" s="144">
        <v>50</v>
      </c>
      <c r="AU28" s="9" t="s">
        <v>236</v>
      </c>
      <c r="AV28">
        <v>2</v>
      </c>
      <c r="AW28"/>
      <c r="AX28"/>
      <c r="AY28"/>
      <c r="AZ28"/>
      <c r="BA28"/>
      <c r="BB28"/>
      <c r="BC28"/>
    </row>
    <row r="29" spans="1:69" x14ac:dyDescent="0.3">
      <c r="A29" s="155"/>
      <c r="B29" s="155"/>
      <c r="C29" s="155"/>
      <c r="D29" s="155"/>
      <c r="E29" s="155"/>
      <c r="F29" s="155"/>
      <c r="G29" s="155"/>
      <c r="H29" s="155"/>
      <c r="I29" s="155"/>
      <c r="J29" s="155"/>
      <c r="K29" s="156"/>
      <c r="L29" s="155"/>
      <c r="M29" s="155"/>
      <c r="N29" s="155"/>
      <c r="O29" s="155"/>
      <c r="P29" s="156"/>
      <c r="Q29" s="155"/>
      <c r="R29" s="155"/>
      <c r="S29" s="155"/>
      <c r="T29" s="155"/>
      <c r="W29" s="10" t="s">
        <v>135</v>
      </c>
      <c r="X29" s="134">
        <v>18.777777777777779</v>
      </c>
      <c r="Z29" s="10" t="s">
        <v>135</v>
      </c>
      <c r="AA29" s="143">
        <v>1.1166871255834465</v>
      </c>
      <c r="AB29"/>
      <c r="AC29" s="10" t="s">
        <v>135</v>
      </c>
      <c r="AD29" s="143">
        <v>20.968902691511385</v>
      </c>
      <c r="AF29" s="10" t="s">
        <v>135</v>
      </c>
      <c r="AG29" s="143">
        <v>1.9988699547943694</v>
      </c>
      <c r="AI29" s="10" t="s">
        <v>135</v>
      </c>
      <c r="AJ29" s="143">
        <v>1.1166871255834465</v>
      </c>
      <c r="AK29"/>
      <c r="AL29" s="10" t="s">
        <v>135</v>
      </c>
      <c r="AM29" s="143">
        <v>16.565433126293996</v>
      </c>
      <c r="AO29" s="10" t="s">
        <v>135</v>
      </c>
      <c r="AP29" s="162">
        <v>0.44134078212290506</v>
      </c>
      <c r="AR29" s="9" t="s">
        <v>201</v>
      </c>
      <c r="AS29" s="144">
        <v>50</v>
      </c>
      <c r="AU29" s="9" t="s">
        <v>281</v>
      </c>
      <c r="AV29">
        <v>2</v>
      </c>
      <c r="AW29"/>
      <c r="AX29"/>
      <c r="AY29"/>
      <c r="AZ29"/>
      <c r="BA29"/>
      <c r="BB29"/>
      <c r="BC29"/>
    </row>
    <row r="30" spans="1:69" x14ac:dyDescent="0.3">
      <c r="A30" s="155"/>
      <c r="B30" s="155"/>
      <c r="C30" s="155"/>
      <c r="D30" s="155"/>
      <c r="E30" s="155"/>
      <c r="F30" s="155"/>
      <c r="G30" s="155"/>
      <c r="H30" s="155"/>
      <c r="I30" s="155"/>
      <c r="J30" s="155"/>
      <c r="K30" s="156"/>
      <c r="L30" s="155"/>
      <c r="M30" s="155"/>
      <c r="N30" s="155"/>
      <c r="O30" s="155"/>
      <c r="P30" s="156"/>
      <c r="Q30" s="155"/>
      <c r="R30" s="155"/>
      <c r="S30" s="155"/>
      <c r="T30" s="155"/>
      <c r="W30" s="10" t="s">
        <v>136</v>
      </c>
      <c r="X30" s="134">
        <v>18.777777777777779</v>
      </c>
      <c r="Z30" s="10" t="s">
        <v>136</v>
      </c>
      <c r="AA30" s="143">
        <v>0.62288343195266271</v>
      </c>
      <c r="AB30"/>
      <c r="AC30" s="10" t="s">
        <v>136</v>
      </c>
      <c r="AD30" s="143">
        <v>11.696366666666666</v>
      </c>
      <c r="AF30" s="10" t="s">
        <v>136</v>
      </c>
      <c r="AG30" s="143">
        <v>1.9994558165680472</v>
      </c>
      <c r="AI30" s="10" t="s">
        <v>136</v>
      </c>
      <c r="AJ30" s="143">
        <v>0.62288343195266271</v>
      </c>
      <c r="AK30"/>
      <c r="AL30" s="10" t="s">
        <v>136</v>
      </c>
      <c r="AM30" s="143">
        <v>25.848970333333334</v>
      </c>
      <c r="AO30" s="10" t="s">
        <v>136</v>
      </c>
      <c r="AP30" s="162">
        <v>0.68847352024922126</v>
      </c>
      <c r="AR30" s="9" t="s">
        <v>192</v>
      </c>
      <c r="AS30" s="144">
        <v>40</v>
      </c>
      <c r="AU30" s="9" t="s">
        <v>116</v>
      </c>
      <c r="AV30">
        <v>2</v>
      </c>
      <c r="AW30"/>
      <c r="AX30"/>
      <c r="AY30"/>
      <c r="AZ30"/>
      <c r="BA30"/>
      <c r="BB30"/>
      <c r="BC30"/>
    </row>
    <row r="31" spans="1:69" x14ac:dyDescent="0.3">
      <c r="A31" s="155"/>
      <c r="B31" s="155"/>
      <c r="C31" s="155"/>
      <c r="D31" s="155"/>
      <c r="E31" s="155"/>
      <c r="F31" s="155"/>
      <c r="G31" s="155"/>
      <c r="H31" s="155"/>
      <c r="I31" s="155"/>
      <c r="J31" s="155"/>
      <c r="K31" s="156"/>
      <c r="L31" s="155"/>
      <c r="M31" s="155"/>
      <c r="N31" s="155"/>
      <c r="O31" s="155"/>
      <c r="P31" s="156"/>
      <c r="Q31" s="155"/>
      <c r="R31" s="155"/>
      <c r="S31" s="155"/>
      <c r="T31" s="155"/>
      <c r="AR31" s="9" t="s">
        <v>116</v>
      </c>
      <c r="AS31" s="144">
        <v>40</v>
      </c>
      <c r="AU31" s="9" t="s">
        <v>222</v>
      </c>
      <c r="AV31">
        <v>2</v>
      </c>
      <c r="AW31"/>
      <c r="AX31"/>
      <c r="AY31"/>
      <c r="AZ31"/>
      <c r="BA31"/>
      <c r="BB31"/>
      <c r="BC31"/>
    </row>
    <row r="32" spans="1:69" x14ac:dyDescent="0.3">
      <c r="A32" s="155"/>
      <c r="B32" s="155"/>
      <c r="C32" s="155"/>
      <c r="D32" s="155"/>
      <c r="E32" s="155"/>
      <c r="F32" s="155"/>
      <c r="G32" s="155"/>
      <c r="H32" s="155"/>
      <c r="I32" s="155"/>
      <c r="J32" s="155"/>
      <c r="K32" s="156"/>
      <c r="L32" s="155"/>
      <c r="M32" s="155"/>
      <c r="N32" s="155"/>
      <c r="O32" s="155"/>
      <c r="P32" s="156"/>
      <c r="Q32" s="155"/>
      <c r="R32" s="155"/>
      <c r="S32" s="155"/>
      <c r="T32" s="155"/>
      <c r="AR32" s="9" t="s">
        <v>97</v>
      </c>
      <c r="AS32" s="144">
        <v>40</v>
      </c>
      <c r="AU32" s="9" t="s">
        <v>264</v>
      </c>
      <c r="AV32">
        <v>1</v>
      </c>
      <c r="AW32"/>
      <c r="AX32"/>
      <c r="AY32"/>
      <c r="AZ32"/>
      <c r="BA32"/>
      <c r="BB32"/>
      <c r="BC32"/>
    </row>
    <row r="33" spans="1:48" x14ac:dyDescent="0.3">
      <c r="A33" s="155"/>
      <c r="B33" s="155"/>
      <c r="C33" s="155"/>
      <c r="D33" s="155"/>
      <c r="E33" s="155"/>
      <c r="F33" s="155"/>
      <c r="G33" s="155"/>
      <c r="H33" s="155"/>
      <c r="I33" s="155"/>
      <c r="J33" s="155"/>
      <c r="K33" s="156"/>
      <c r="L33" s="155"/>
      <c r="M33" s="155"/>
      <c r="N33" s="155"/>
      <c r="O33" s="155"/>
      <c r="P33" s="156"/>
      <c r="Q33" s="155"/>
      <c r="R33" s="155"/>
      <c r="S33" s="155"/>
      <c r="T33" s="155"/>
      <c r="AR33" s="9" t="s">
        <v>222</v>
      </c>
      <c r="AS33" s="144">
        <v>40</v>
      </c>
      <c r="AU33" s="9" t="s">
        <v>251</v>
      </c>
      <c r="AV33">
        <v>1</v>
      </c>
    </row>
    <row r="34" spans="1:48" x14ac:dyDescent="0.3">
      <c r="K34" s="130"/>
      <c r="P34" s="130"/>
      <c r="AR34" s="9" t="s">
        <v>236</v>
      </c>
      <c r="AS34" s="144">
        <v>40</v>
      </c>
      <c r="AU34" s="9" t="s">
        <v>107</v>
      </c>
      <c r="AV34">
        <v>1</v>
      </c>
    </row>
    <row r="35" spans="1:48" x14ac:dyDescent="0.3">
      <c r="AR35" s="9" t="s">
        <v>281</v>
      </c>
      <c r="AS35" s="144">
        <v>40</v>
      </c>
      <c r="AU35" s="9" t="s">
        <v>100</v>
      </c>
      <c r="AV35">
        <v>1</v>
      </c>
    </row>
    <row r="36" spans="1:48" x14ac:dyDescent="0.3">
      <c r="AR36" s="9" t="s">
        <v>98</v>
      </c>
      <c r="AS36" s="144">
        <v>20</v>
      </c>
      <c r="AU36" s="9" t="s">
        <v>260</v>
      </c>
      <c r="AV36">
        <v>1</v>
      </c>
    </row>
    <row r="37" spans="1:48" x14ac:dyDescent="0.3">
      <c r="AR37" s="9" t="s">
        <v>245</v>
      </c>
      <c r="AS37" s="144">
        <v>20</v>
      </c>
      <c r="AU37" s="9" t="s">
        <v>280</v>
      </c>
      <c r="AV37">
        <v>1</v>
      </c>
    </row>
    <row r="38" spans="1:48" x14ac:dyDescent="0.3">
      <c r="AR38" s="9" t="s">
        <v>108</v>
      </c>
      <c r="AS38" s="144">
        <v>20</v>
      </c>
      <c r="AU38" s="9" t="s">
        <v>98</v>
      </c>
      <c r="AV38">
        <v>1</v>
      </c>
    </row>
    <row r="39" spans="1:48" x14ac:dyDescent="0.3">
      <c r="AR39" s="9" t="s">
        <v>181</v>
      </c>
      <c r="AS39" s="144">
        <v>20</v>
      </c>
      <c r="AU39" s="9" t="s">
        <v>181</v>
      </c>
      <c r="AV39">
        <v>1</v>
      </c>
    </row>
    <row r="40" spans="1:48" x14ac:dyDescent="0.3">
      <c r="AR40" s="9" t="s">
        <v>251</v>
      </c>
      <c r="AS40" s="144">
        <v>20</v>
      </c>
      <c r="AU40" s="9" t="s">
        <v>245</v>
      </c>
      <c r="AV40">
        <v>1</v>
      </c>
    </row>
    <row r="41" spans="1:48" x14ac:dyDescent="0.3">
      <c r="AR41" s="9" t="s">
        <v>191</v>
      </c>
      <c r="AS41" s="144">
        <v>20</v>
      </c>
      <c r="AU41" s="9" t="s">
        <v>224</v>
      </c>
      <c r="AV41">
        <v>1</v>
      </c>
    </row>
    <row r="42" spans="1:48" x14ac:dyDescent="0.3">
      <c r="AR42" s="9" t="s">
        <v>223</v>
      </c>
      <c r="AS42" s="144">
        <v>20</v>
      </c>
      <c r="AU42" s="9" t="s">
        <v>108</v>
      </c>
      <c r="AV42">
        <v>1</v>
      </c>
    </row>
    <row r="43" spans="1:48" x14ac:dyDescent="0.3">
      <c r="AR43" s="9" t="s">
        <v>184</v>
      </c>
      <c r="AS43" s="144">
        <v>20</v>
      </c>
      <c r="AU43" s="9" t="s">
        <v>225</v>
      </c>
      <c r="AV43">
        <v>1</v>
      </c>
    </row>
    <row r="44" spans="1:48" x14ac:dyDescent="0.3">
      <c r="AR44" s="9" t="s">
        <v>225</v>
      </c>
      <c r="AS44" s="144">
        <v>20</v>
      </c>
      <c r="AU44" s="9" t="s">
        <v>262</v>
      </c>
      <c r="AV44">
        <v>1</v>
      </c>
    </row>
    <row r="45" spans="1:48" x14ac:dyDescent="0.3">
      <c r="AR45" s="9" t="s">
        <v>107</v>
      </c>
      <c r="AS45" s="144">
        <v>20</v>
      </c>
      <c r="AU45" s="9" t="s">
        <v>184</v>
      </c>
      <c r="AV45">
        <v>1</v>
      </c>
    </row>
    <row r="46" spans="1:48" x14ac:dyDescent="0.3">
      <c r="AR46" s="9" t="s">
        <v>224</v>
      </c>
      <c r="AS46" s="144">
        <v>20</v>
      </c>
      <c r="AU46" s="9" t="s">
        <v>191</v>
      </c>
      <c r="AV46">
        <v>1</v>
      </c>
    </row>
    <row r="47" spans="1:48" x14ac:dyDescent="0.3">
      <c r="AR47" s="9" t="s">
        <v>188</v>
      </c>
      <c r="AS47" s="144">
        <v>20</v>
      </c>
      <c r="AU47" s="9" t="s">
        <v>95</v>
      </c>
      <c r="AV47">
        <v>1</v>
      </c>
    </row>
    <row r="48" spans="1:48" x14ac:dyDescent="0.3">
      <c r="AR48" s="9" t="s">
        <v>264</v>
      </c>
      <c r="AS48" s="144">
        <v>16</v>
      </c>
      <c r="AU48" s="9" t="s">
        <v>223</v>
      </c>
      <c r="AV48">
        <v>1</v>
      </c>
    </row>
    <row r="49" spans="44:48" x14ac:dyDescent="0.3">
      <c r="AR49" s="9" t="s">
        <v>100</v>
      </c>
      <c r="AS49" s="144">
        <v>8</v>
      </c>
      <c r="AU49" s="9" t="s">
        <v>188</v>
      </c>
      <c r="AV49">
        <v>1</v>
      </c>
    </row>
  </sheetData>
  <mergeCells count="2">
    <mergeCell ref="BP17:BP18"/>
    <mergeCell ref="BO17:BO18"/>
  </mergeCells>
  <pageMargins left="0.511811024" right="0.511811024" top="0.78740157499999996" bottom="0.78740157499999996" header="0.31496062000000002" footer="0.31496062000000002"/>
  <pageSetup paperSize="9" orientation="portrait" r:id="rId14"/>
  <drawing r:id="rId15"/>
  <extLst>
    <ext xmlns:x14="http://schemas.microsoft.com/office/spreadsheetml/2009/9/main" uri="{A8765BA9-456A-4dab-B4F3-ACF838C121DE}">
      <x14:slicerList>
        <x14:slicer r:id="rId16"/>
      </x14:slicerList>
    </ext>
    <ext xmlns:x15="http://schemas.microsoft.com/office/spreadsheetml/2010/11/main" uri="{7E03D99C-DC04-49d9-9315-930204A7B6E9}">
      <x15:timelineRefs>
        <x15:timelineRef r:id="rId17"/>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tabColor rgb="FF00B0F0"/>
    <outlinePr summaryBelow="0" summaryRight="0"/>
  </sheetPr>
  <dimension ref="A1:AA1000"/>
  <sheetViews>
    <sheetView topLeftCell="A106" workbookViewId="0">
      <selection activeCell="J124" sqref="J124"/>
    </sheetView>
  </sheetViews>
  <sheetFormatPr defaultColWidth="12.6640625" defaultRowHeight="15" customHeight="1" x14ac:dyDescent="0.3"/>
  <cols>
    <col min="1" max="1" width="12.33203125" style="46" customWidth="1"/>
    <col min="2" max="2" width="11.44140625" style="46" customWidth="1"/>
    <col min="3" max="3" width="15" style="37" bestFit="1" customWidth="1"/>
    <col min="4" max="4" width="19.6640625" style="37" bestFit="1" customWidth="1"/>
    <col min="5" max="5" width="12.6640625" style="37" customWidth="1"/>
    <col min="6" max="6" width="14.33203125" style="37" customWidth="1"/>
    <col min="7" max="7" width="15.33203125" style="44" customWidth="1"/>
    <col min="8" max="8" width="12.6640625" style="84" customWidth="1"/>
    <col min="9" max="9" width="12.6640625" style="44" customWidth="1"/>
    <col min="10" max="10" width="13.33203125" style="44" customWidth="1"/>
    <col min="11" max="11" width="12.6640625" style="37" customWidth="1"/>
    <col min="12" max="27" width="12.33203125" style="54" customWidth="1"/>
    <col min="28" max="16384" width="12.6640625" style="54"/>
  </cols>
  <sheetData>
    <row r="1" spans="1:27" s="51" customFormat="1" ht="33.6" customHeight="1" x14ac:dyDescent="0.3">
      <c r="A1" s="31" t="s">
        <v>92</v>
      </c>
      <c r="B1" s="31" t="s">
        <v>216</v>
      </c>
      <c r="C1" s="16" t="s">
        <v>7</v>
      </c>
      <c r="D1" s="17" t="s">
        <v>8</v>
      </c>
      <c r="E1" s="18" t="s">
        <v>53</v>
      </c>
      <c r="F1" s="18" t="s">
        <v>56</v>
      </c>
      <c r="G1" s="18" t="s">
        <v>55</v>
      </c>
      <c r="H1" s="80" t="s">
        <v>50</v>
      </c>
      <c r="I1" s="18" t="s">
        <v>54</v>
      </c>
      <c r="J1" s="18" t="s">
        <v>10</v>
      </c>
      <c r="K1" s="19" t="s">
        <v>9</v>
      </c>
      <c r="M1" s="52"/>
      <c r="N1" s="52"/>
      <c r="O1" s="52"/>
      <c r="P1" s="52"/>
      <c r="Q1" s="52"/>
      <c r="R1" s="52"/>
      <c r="S1" s="52"/>
      <c r="T1" s="52"/>
      <c r="U1" s="52"/>
      <c r="V1" s="52"/>
      <c r="W1" s="52"/>
      <c r="X1" s="52"/>
      <c r="Y1" s="52"/>
      <c r="Z1" s="52"/>
      <c r="AA1" s="53"/>
    </row>
    <row r="2" spans="1:27" ht="15.75" customHeight="1" x14ac:dyDescent="0.3">
      <c r="A2" s="32">
        <v>45676</v>
      </c>
      <c r="B2" s="33" t="str">
        <f t="shared" ref="B2:B33" si="0">TEXT(A2,"mmmm")</f>
        <v>janeiro</v>
      </c>
      <c r="C2" s="33" t="s">
        <v>97</v>
      </c>
      <c r="D2" s="34" t="s">
        <v>63</v>
      </c>
      <c r="E2" s="35">
        <f>IFERROR(VLOOKUP(Tabela2[[#This Row],[Produto ]],'Custo Produto'!B:R,16,0)," ")</f>
        <v>0.84575135395510281</v>
      </c>
      <c r="F2" s="35">
        <f>IFERROR(Tabela2[[#This Row],[Custo Unitario]]*Tabela2[[#This Row],[Quantidade]]," ")</f>
        <v>1.6915027079102056</v>
      </c>
      <c r="G2" s="35">
        <f>IFERROR(VLOOKUP(Tabela2[[#This Row],[Produto ]],'Custo Produto'!B:R,17,0)," ")</f>
        <v>20.000166456647218</v>
      </c>
      <c r="H2" s="81">
        <v>2</v>
      </c>
      <c r="I2" s="35">
        <v>40</v>
      </c>
      <c r="J2" s="35">
        <v>40</v>
      </c>
      <c r="K2" s="36" t="str">
        <f>IF(Tabela2[[#This Row],[Valor Recebido.]]&gt;=Tabela2[[#This Row],[Valor da Venda]],"PAGO","A RECEBER")</f>
        <v>PAGO</v>
      </c>
      <c r="M2" s="55"/>
      <c r="N2" s="55"/>
      <c r="O2" s="55"/>
      <c r="P2" s="55"/>
      <c r="Q2" s="55"/>
      <c r="R2" s="55"/>
      <c r="S2" s="55"/>
      <c r="T2" s="55"/>
      <c r="U2" s="55"/>
      <c r="V2" s="55"/>
      <c r="W2" s="55"/>
      <c r="X2" s="55"/>
      <c r="Y2" s="55"/>
      <c r="Z2" s="55"/>
      <c r="AA2" s="56"/>
    </row>
    <row r="3" spans="1:27" ht="15.75" customHeight="1" x14ac:dyDescent="0.3">
      <c r="A3" s="32">
        <v>45676</v>
      </c>
      <c r="B3" s="33" t="str">
        <f t="shared" si="0"/>
        <v>janeiro</v>
      </c>
      <c r="C3" s="33" t="s">
        <v>96</v>
      </c>
      <c r="D3" s="34" t="s">
        <v>63</v>
      </c>
      <c r="E3" s="35">
        <f>IFERROR(VLOOKUP(Tabela2[[#This Row],[Produto ]],'Custo Produto'!B:R,16,0)," ")</f>
        <v>0.84575135395510281</v>
      </c>
      <c r="F3" s="35">
        <f>IFERROR(Tabela2[[#This Row],[Custo Unitario]]*Tabela2[[#This Row],[Quantidade]]," ")</f>
        <v>0.84575135395510281</v>
      </c>
      <c r="G3" s="35">
        <f>IFERROR(VLOOKUP(Tabela2[[#This Row],[Produto ]],'Custo Produto'!B:R,17,0)," ")</f>
        <v>20.000166456647218</v>
      </c>
      <c r="H3" s="81">
        <v>1</v>
      </c>
      <c r="I3" s="35">
        <v>20</v>
      </c>
      <c r="J3" s="35">
        <v>20</v>
      </c>
      <c r="K3" s="36" t="str">
        <f>IF(Tabela2[[#This Row],[Valor Recebido.]]&gt;=Tabela2[[#This Row],[Valor da Venda]],"PAGO","A RECEBER")</f>
        <v>PAGO</v>
      </c>
      <c r="M3" s="56"/>
      <c r="N3" s="56"/>
      <c r="O3" s="56"/>
      <c r="P3" s="56"/>
      <c r="Q3" s="56"/>
      <c r="R3" s="56"/>
      <c r="S3" s="56"/>
      <c r="T3" s="56"/>
      <c r="U3" s="56"/>
      <c r="V3" s="56"/>
      <c r="W3" s="56"/>
      <c r="X3" s="56"/>
      <c r="Y3" s="56"/>
      <c r="Z3" s="56"/>
      <c r="AA3" s="56"/>
    </row>
    <row r="4" spans="1:27" ht="15.75" customHeight="1" x14ac:dyDescent="0.3">
      <c r="A4" s="32">
        <v>45676</v>
      </c>
      <c r="B4" s="33" t="str">
        <f t="shared" si="0"/>
        <v>janeiro</v>
      </c>
      <c r="C4" s="33" t="s">
        <v>98</v>
      </c>
      <c r="D4" s="34" t="s">
        <v>63</v>
      </c>
      <c r="E4" s="35">
        <f>IFERROR(VLOOKUP(Tabela2[[#This Row],[Produto ]],'Custo Produto'!B:R,16,0)," ")</f>
        <v>0.84575135395510281</v>
      </c>
      <c r="F4" s="35">
        <f>IFERROR(Tabela2[[#This Row],[Custo Unitario]]*Tabela2[[#This Row],[Quantidade]]," ")</f>
        <v>0.84575135395510281</v>
      </c>
      <c r="G4" s="35">
        <f>IFERROR(VLOOKUP(Tabela2[[#This Row],[Produto ]],'Custo Produto'!B:R,17,0)," ")</f>
        <v>20.000166456647218</v>
      </c>
      <c r="H4" s="81">
        <v>1</v>
      </c>
      <c r="I4" s="35">
        <v>20</v>
      </c>
      <c r="J4" s="35">
        <v>20</v>
      </c>
      <c r="K4" s="36" t="str">
        <f>IF(Tabela2[[#This Row],[Valor Recebido.]]&gt;=Tabela2[[#This Row],[Valor da Venda]],"PAGO","A RECEBER")</f>
        <v>PAGO</v>
      </c>
      <c r="M4" s="56"/>
      <c r="N4" s="56"/>
      <c r="O4" s="56"/>
      <c r="P4" s="56"/>
      <c r="Q4" s="56"/>
      <c r="R4" s="56"/>
      <c r="S4" s="56"/>
      <c r="T4" s="56"/>
      <c r="U4" s="56"/>
      <c r="V4" s="56"/>
      <c r="W4" s="56"/>
      <c r="X4" s="56"/>
      <c r="Y4" s="56"/>
      <c r="Z4" s="56"/>
      <c r="AA4" s="56"/>
    </row>
    <row r="5" spans="1:27" ht="15.75" customHeight="1" x14ac:dyDescent="0.3">
      <c r="A5" s="32">
        <v>45676</v>
      </c>
      <c r="B5" s="33" t="str">
        <f t="shared" si="0"/>
        <v>janeiro</v>
      </c>
      <c r="C5" s="33" t="s">
        <v>99</v>
      </c>
      <c r="D5" s="34" t="s">
        <v>63</v>
      </c>
      <c r="E5" s="35">
        <f>IFERROR(VLOOKUP(Tabela2[[#This Row],[Produto ]],'Custo Produto'!B:R,16,0)," ")</f>
        <v>0.84575135395510281</v>
      </c>
      <c r="F5" s="35">
        <f>IFERROR(Tabela2[[#This Row],[Custo Unitario]]*Tabela2[[#This Row],[Quantidade]]," ")</f>
        <v>0.84575135395510281</v>
      </c>
      <c r="G5" s="35">
        <f>IFERROR(VLOOKUP(Tabela2[[#This Row],[Produto ]],'Custo Produto'!B:R,17,0)," ")</f>
        <v>20.000166456647218</v>
      </c>
      <c r="H5" s="81">
        <v>1</v>
      </c>
      <c r="I5" s="35">
        <v>20</v>
      </c>
      <c r="J5" s="35">
        <v>20</v>
      </c>
      <c r="K5" s="36" t="str">
        <f>IF(Tabela2[[#This Row],[Valor Recebido.]]&gt;=Tabela2[[#This Row],[Valor da Venda]],"PAGO","A RECEBER")</f>
        <v>PAGO</v>
      </c>
      <c r="M5" s="56"/>
      <c r="N5" s="56"/>
      <c r="O5" s="56"/>
      <c r="P5" s="56"/>
      <c r="Q5" s="56"/>
      <c r="R5" s="56"/>
      <c r="S5" s="56"/>
      <c r="T5" s="56"/>
      <c r="U5" s="56"/>
      <c r="V5" s="56"/>
      <c r="W5" s="56"/>
      <c r="X5" s="56"/>
      <c r="Y5" s="56"/>
      <c r="Z5" s="56"/>
      <c r="AA5" s="56"/>
    </row>
    <row r="6" spans="1:27" ht="15.75" customHeight="1" x14ac:dyDescent="0.3">
      <c r="A6" s="32">
        <v>45676</v>
      </c>
      <c r="B6" s="33" t="str">
        <f t="shared" si="0"/>
        <v>janeiro</v>
      </c>
      <c r="C6" s="39" t="s">
        <v>100</v>
      </c>
      <c r="D6" s="40" t="s">
        <v>77</v>
      </c>
      <c r="E6" s="41">
        <f>IFERROR(VLOOKUP(Tabela2[[#This Row],[Produto ]],'Custo Produto'!B:R,16,0)," ")</f>
        <v>0.85580933909473567</v>
      </c>
      <c r="F6" s="41">
        <f>IFERROR(Tabela2[[#This Row],[Custo Unitario]]*Tabela2[[#This Row],[Quantidade]]," ")</f>
        <v>0.85580933909473567</v>
      </c>
      <c r="G6" s="41">
        <v>8</v>
      </c>
      <c r="H6" s="82">
        <v>1</v>
      </c>
      <c r="I6" s="35">
        <v>8</v>
      </c>
      <c r="J6" s="41">
        <v>8</v>
      </c>
      <c r="K6" s="42" t="str">
        <f>IF(Tabela2[[#This Row],[Valor Recebido.]]&gt;=Tabela2[[#This Row],[Valor da Venda]],"PAGO","A RECEBER")</f>
        <v>PAGO</v>
      </c>
      <c r="M6" s="56"/>
      <c r="N6" s="56"/>
      <c r="O6" s="56"/>
      <c r="P6" s="56"/>
      <c r="Q6" s="56"/>
      <c r="R6" s="56"/>
      <c r="S6" s="56"/>
      <c r="T6" s="56"/>
      <c r="U6" s="56"/>
      <c r="V6" s="56"/>
      <c r="W6" s="56"/>
      <c r="X6" s="56"/>
      <c r="Y6" s="56"/>
      <c r="Z6" s="56"/>
      <c r="AA6" s="56"/>
    </row>
    <row r="7" spans="1:27" ht="15.75" customHeight="1" x14ac:dyDescent="0.3">
      <c r="A7" s="32">
        <v>45678</v>
      </c>
      <c r="B7" s="33" t="str">
        <f t="shared" si="0"/>
        <v>janeiro</v>
      </c>
      <c r="C7" s="33" t="s">
        <v>91</v>
      </c>
      <c r="D7" s="34" t="s">
        <v>58</v>
      </c>
      <c r="E7" s="35">
        <v>114.56</v>
      </c>
      <c r="F7" s="35">
        <f>IFERROR(Tabela2[[#This Row],[Custo Unitario]]*Tabela2[[#This Row],[Quantidade]]," ")</f>
        <v>0</v>
      </c>
      <c r="G7" s="35">
        <v>0</v>
      </c>
      <c r="H7" s="81">
        <v>0</v>
      </c>
      <c r="I7" s="35">
        <v>0</v>
      </c>
      <c r="J7" s="35">
        <v>0</v>
      </c>
      <c r="K7" s="36" t="str">
        <f>IF(Tabela2[[#This Row],[Valor Recebido.]]&gt;=Tabela2[[#This Row],[Valor da Venda]],"PAGO","A RECEBER")</f>
        <v>PAGO</v>
      </c>
      <c r="M7" s="56"/>
      <c r="N7" s="56"/>
      <c r="O7" s="56"/>
      <c r="P7" s="56"/>
      <c r="Q7" s="56"/>
      <c r="R7" s="56"/>
      <c r="S7" s="56"/>
      <c r="T7" s="56"/>
      <c r="U7" s="56"/>
      <c r="V7" s="56"/>
      <c r="W7" s="56"/>
      <c r="X7" s="56"/>
      <c r="Y7" s="56"/>
      <c r="Z7" s="56"/>
      <c r="AA7" s="56"/>
    </row>
    <row r="8" spans="1:27" ht="15.75" customHeight="1" x14ac:dyDescent="0.3">
      <c r="A8" s="32">
        <v>45682</v>
      </c>
      <c r="B8" s="33" t="str">
        <f t="shared" si="0"/>
        <v>janeiro</v>
      </c>
      <c r="C8" s="33" t="s">
        <v>91</v>
      </c>
      <c r="D8" s="34" t="s">
        <v>58</v>
      </c>
      <c r="E8" s="35">
        <v>138.66999999999999</v>
      </c>
      <c r="F8" s="35">
        <f>IFERROR(Tabela2[[#This Row],[Custo Unitario]]*Tabela2[[#This Row],[Quantidade]]," ")</f>
        <v>0</v>
      </c>
      <c r="G8" s="35">
        <v>0</v>
      </c>
      <c r="H8" s="81">
        <v>0</v>
      </c>
      <c r="I8" s="35">
        <v>0</v>
      </c>
      <c r="J8" s="35">
        <v>0</v>
      </c>
      <c r="K8" s="36" t="str">
        <f>IF(Tabela2[[#This Row],[Valor Recebido.]]&gt;=Tabela2[[#This Row],[Valor da Venda]],"PAGO","A RECEBER")</f>
        <v>PAGO</v>
      </c>
      <c r="M8" s="56"/>
      <c r="N8" s="56"/>
      <c r="O8" s="56"/>
      <c r="P8" s="56"/>
      <c r="Q8" s="56"/>
      <c r="R8" s="56"/>
      <c r="S8" s="56"/>
      <c r="T8" s="56"/>
      <c r="U8" s="56"/>
      <c r="V8" s="56"/>
      <c r="W8" s="56"/>
      <c r="X8" s="56"/>
      <c r="Y8" s="56"/>
      <c r="Z8" s="56"/>
      <c r="AA8" s="56"/>
    </row>
    <row r="9" spans="1:27" ht="15.75" customHeight="1" x14ac:dyDescent="0.3">
      <c r="A9" s="32">
        <v>45683</v>
      </c>
      <c r="B9" s="33" t="str">
        <f t="shared" si="0"/>
        <v>janeiro</v>
      </c>
      <c r="C9" s="33" t="s">
        <v>93</v>
      </c>
      <c r="D9" s="34" t="s">
        <v>63</v>
      </c>
      <c r="E9" s="35">
        <f>IFERROR(VLOOKUP(Tabela2[[#This Row],[Produto ]],'Custo Produto'!B:R,16,0)," ")</f>
        <v>0.84575135395510281</v>
      </c>
      <c r="F9" s="35">
        <f>IFERROR(Tabela2[[#This Row],[Custo Unitario]]*Tabela2[[#This Row],[Quantidade]]," ")</f>
        <v>1.6915027079102056</v>
      </c>
      <c r="G9" s="35">
        <f>IFERROR(VLOOKUP(Tabela2[[#This Row],[Produto ]],'Custo Produto'!B:R,17,0)," ")</f>
        <v>20.000166456647218</v>
      </c>
      <c r="H9" s="81">
        <v>2</v>
      </c>
      <c r="I9" s="35">
        <v>40</v>
      </c>
      <c r="J9" s="35">
        <v>40</v>
      </c>
      <c r="K9" s="36" t="str">
        <f>IF(Tabela2[[#This Row],[Valor Recebido.]]&gt;=Tabela2[[#This Row],[Valor da Venda]],"PAGO","A RECEBER")</f>
        <v>PAGO</v>
      </c>
      <c r="M9" s="56"/>
      <c r="N9" s="56"/>
      <c r="O9" s="56"/>
      <c r="P9" s="56"/>
      <c r="Q9" s="56"/>
      <c r="R9" s="56"/>
      <c r="S9" s="56"/>
      <c r="T9" s="56"/>
      <c r="U9" s="56"/>
      <c r="V9" s="56"/>
      <c r="W9" s="56"/>
      <c r="X9" s="56"/>
      <c r="Y9" s="56"/>
      <c r="Z9" s="56"/>
      <c r="AA9" s="56"/>
    </row>
    <row r="10" spans="1:27" ht="15.75" customHeight="1" x14ac:dyDescent="0.3">
      <c r="A10" s="32">
        <v>45683</v>
      </c>
      <c r="B10" s="33" t="str">
        <f t="shared" si="0"/>
        <v>janeiro</v>
      </c>
      <c r="C10" s="33" t="s">
        <v>94</v>
      </c>
      <c r="D10" s="34" t="s">
        <v>63</v>
      </c>
      <c r="E10" s="35">
        <f>IFERROR(VLOOKUP(Tabela2[[#This Row],[Produto ]],'Custo Produto'!B:R,16,0)," ")</f>
        <v>0.84575135395510281</v>
      </c>
      <c r="F10" s="35">
        <f>IFERROR(Tabela2[[#This Row],[Custo Unitario]]*Tabela2[[#This Row],[Quantidade]]," ")</f>
        <v>0.84575135395510281</v>
      </c>
      <c r="G10" s="35">
        <v>20</v>
      </c>
      <c r="H10" s="81">
        <v>1</v>
      </c>
      <c r="I10" s="35">
        <v>20</v>
      </c>
      <c r="J10" s="35">
        <v>20</v>
      </c>
      <c r="K10" s="36" t="str">
        <f>IF(Tabela2[[#This Row],[Valor Recebido.]]&gt;=Tabela2[[#This Row],[Valor da Venda]],"PAGO","A RECEBER")</f>
        <v>PAGO</v>
      </c>
      <c r="M10" s="56"/>
      <c r="N10" s="56"/>
      <c r="O10" s="56"/>
      <c r="P10" s="56"/>
      <c r="Q10" s="56"/>
      <c r="R10" s="56"/>
      <c r="S10" s="56"/>
      <c r="T10" s="56"/>
      <c r="U10" s="56"/>
      <c r="V10" s="56"/>
      <c r="W10" s="56"/>
      <c r="X10" s="56"/>
      <c r="Y10" s="56"/>
      <c r="Z10" s="56"/>
      <c r="AA10" s="56"/>
    </row>
    <row r="11" spans="1:27" ht="15.75" customHeight="1" x14ac:dyDescent="0.3">
      <c r="A11" s="32">
        <v>45683</v>
      </c>
      <c r="B11" s="33" t="str">
        <f t="shared" si="0"/>
        <v>janeiro</v>
      </c>
      <c r="C11" s="33" t="s">
        <v>95</v>
      </c>
      <c r="D11" s="34" t="s">
        <v>86</v>
      </c>
      <c r="E11" s="35">
        <f>IFERROR(VLOOKUP(Tabela2[[#This Row],[Produto ]],'Custo Produto'!B:R,16,0)," ")</f>
        <v>0.84618865765682594</v>
      </c>
      <c r="F11" s="35">
        <f>IFERROR(Tabela2[[#This Row],[Custo Unitario]]*Tabela2[[#This Row],[Quantidade]]," ")</f>
        <v>0.84618865765682594</v>
      </c>
      <c r="G11" s="35">
        <f>IFERROR(VLOOKUP(Tabela2[[#This Row],[Produto ]],'Custo Produto'!B:R,17,0)," ")</f>
        <v>49.997213562817485</v>
      </c>
      <c r="H11" s="81">
        <v>1</v>
      </c>
      <c r="I11" s="35">
        <v>50</v>
      </c>
      <c r="J11" s="35">
        <v>50</v>
      </c>
      <c r="K11" s="36" t="str">
        <f>IF(Tabela2[[#This Row],[Valor Recebido.]]&gt;=Tabela2[[#This Row],[Valor da Venda]],"PAGO","A RECEBER")</f>
        <v>PAGO</v>
      </c>
      <c r="M11" s="56"/>
      <c r="N11" s="56"/>
      <c r="O11" s="56"/>
      <c r="P11" s="56"/>
      <c r="Q11" s="56"/>
      <c r="R11" s="56"/>
      <c r="S11" s="56"/>
      <c r="T11" s="56"/>
      <c r="U11" s="56"/>
      <c r="V11" s="56"/>
      <c r="W11" s="56"/>
      <c r="X11" s="56"/>
      <c r="Y11" s="56"/>
      <c r="Z11" s="56"/>
      <c r="AA11" s="56"/>
    </row>
    <row r="12" spans="1:27" ht="15.75" customHeight="1" x14ac:dyDescent="0.3">
      <c r="A12" s="32">
        <v>45683</v>
      </c>
      <c r="B12" s="33" t="str">
        <f t="shared" si="0"/>
        <v>janeiro</v>
      </c>
      <c r="C12" s="33" t="s">
        <v>96</v>
      </c>
      <c r="D12" s="34" t="s">
        <v>63</v>
      </c>
      <c r="E12" s="35">
        <f>IFERROR(VLOOKUP(Tabela2[[#This Row],[Produto ]],'Custo Produto'!B:R,16,0)," ")</f>
        <v>0.84575135395510281</v>
      </c>
      <c r="F12" s="35">
        <f>IFERROR(Tabela2[[#This Row],[Custo Unitario]]*Tabela2[[#This Row],[Quantidade]]," ")</f>
        <v>1.6915027079102056</v>
      </c>
      <c r="G12" s="35">
        <f>IFERROR(VLOOKUP(Tabela2[[#This Row],[Produto ]],'Custo Produto'!B:R,17,0)," ")</f>
        <v>20.000166456647218</v>
      </c>
      <c r="H12" s="81">
        <v>2</v>
      </c>
      <c r="I12" s="35">
        <v>40</v>
      </c>
      <c r="J12" s="35">
        <v>40</v>
      </c>
      <c r="K12" s="36" t="str">
        <f>IF(Tabela2[[#This Row],[Valor Recebido.]]&gt;=Tabela2[[#This Row],[Valor da Venda]],"PAGO","A RECEBER")</f>
        <v>PAGO</v>
      </c>
      <c r="M12" s="56"/>
      <c r="N12" s="56"/>
      <c r="O12" s="56"/>
      <c r="P12" s="56"/>
      <c r="Q12" s="56"/>
      <c r="R12" s="56"/>
      <c r="S12" s="56"/>
      <c r="T12" s="56"/>
      <c r="U12" s="56"/>
      <c r="V12" s="56"/>
      <c r="W12" s="56"/>
      <c r="X12" s="56"/>
      <c r="Y12" s="56"/>
      <c r="Z12" s="56"/>
      <c r="AA12" s="56"/>
    </row>
    <row r="13" spans="1:27" ht="15.75" customHeight="1" x14ac:dyDescent="0.3">
      <c r="A13" s="32">
        <v>45703</v>
      </c>
      <c r="B13" s="33" t="str">
        <f t="shared" si="0"/>
        <v>fevereiro</v>
      </c>
      <c r="C13" s="33" t="s">
        <v>91</v>
      </c>
      <c r="D13" s="34" t="s">
        <v>58</v>
      </c>
      <c r="E13" s="35">
        <v>28.99</v>
      </c>
      <c r="F13" s="35">
        <f>IFERROR(Tabela2[[#This Row],[Custo Unitario]]*Tabela2[[#This Row],[Quantidade]]," ")</f>
        <v>0</v>
      </c>
      <c r="G13" s="35">
        <v>0</v>
      </c>
      <c r="H13" s="81">
        <v>0</v>
      </c>
      <c r="I13" s="35">
        <v>0</v>
      </c>
      <c r="J13" s="35">
        <v>0</v>
      </c>
      <c r="K13" s="36" t="str">
        <f>IF(Tabela2[[#This Row],[Valor Recebido.]]&gt;=Tabela2[[#This Row],[Valor da Venda]],"PAGO","A RECEBER")</f>
        <v>PAGO</v>
      </c>
      <c r="M13" s="56"/>
      <c r="N13" s="56"/>
      <c r="O13" s="56"/>
      <c r="P13" s="56"/>
      <c r="Q13" s="56"/>
      <c r="R13" s="56"/>
      <c r="S13" s="56"/>
      <c r="T13" s="56"/>
      <c r="U13" s="56"/>
      <c r="V13" s="56"/>
      <c r="W13" s="56"/>
      <c r="X13" s="56"/>
      <c r="Y13" s="56"/>
      <c r="Z13" s="56"/>
      <c r="AA13" s="56"/>
    </row>
    <row r="14" spans="1:27" ht="15.75" customHeight="1" x14ac:dyDescent="0.3">
      <c r="A14" s="32">
        <v>45704</v>
      </c>
      <c r="B14" s="33" t="str">
        <f t="shared" si="0"/>
        <v>fevereiro</v>
      </c>
      <c r="C14" s="33" t="s">
        <v>106</v>
      </c>
      <c r="D14" s="34" t="s">
        <v>63</v>
      </c>
      <c r="E14" s="35">
        <f>IFERROR(VLOOKUP(Tabela2[[#This Row],[Produto ]],'Custo Produto'!B:R,16,0)," ")</f>
        <v>0.84575135395510281</v>
      </c>
      <c r="F14" s="35">
        <f>IFERROR(Tabela2[[#This Row],[Custo Unitario]]*Tabela2[[#This Row],[Quantidade]]," ")</f>
        <v>3.3830054158204113</v>
      </c>
      <c r="G14" s="35">
        <f>IFERROR(VLOOKUP(Tabela2[[#This Row],[Produto ]],'Custo Produto'!B:R,17,0)," ")</f>
        <v>20.000166456647218</v>
      </c>
      <c r="H14" s="81">
        <v>4</v>
      </c>
      <c r="I14" s="35">
        <v>80</v>
      </c>
      <c r="J14" s="35">
        <v>80</v>
      </c>
      <c r="K14" s="36" t="str">
        <f>IF(Tabela2[[#This Row],[Valor Recebido.]]&gt;=Tabela2[[#This Row],[Valor da Venda]],"PAGO","A RECEBER")</f>
        <v>PAGO</v>
      </c>
      <c r="M14" s="56"/>
      <c r="N14" s="56"/>
      <c r="O14" s="56"/>
      <c r="P14" s="56"/>
      <c r="Q14" s="56"/>
      <c r="R14" s="56"/>
      <c r="S14" s="56"/>
      <c r="T14" s="56"/>
      <c r="U14" s="56"/>
      <c r="V14" s="56"/>
      <c r="W14" s="56"/>
      <c r="X14" s="56"/>
      <c r="Y14" s="56"/>
      <c r="Z14" s="56"/>
      <c r="AA14" s="56"/>
    </row>
    <row r="15" spans="1:27" ht="15.75" customHeight="1" x14ac:dyDescent="0.3">
      <c r="A15" s="32">
        <v>45704</v>
      </c>
      <c r="B15" s="39" t="str">
        <f t="shared" si="0"/>
        <v>fevereiro</v>
      </c>
      <c r="C15" s="33" t="s">
        <v>99</v>
      </c>
      <c r="D15" s="34" t="s">
        <v>63</v>
      </c>
      <c r="E15" s="35">
        <f>IFERROR(VLOOKUP(Tabela2[[#This Row],[Produto ]],'Custo Produto'!B:R,16,0)," ")</f>
        <v>0.84575135395510281</v>
      </c>
      <c r="F15" s="35">
        <f>IFERROR(Tabela2[[#This Row],[Custo Unitario]]*Tabela2[[#This Row],[Quantidade]]," ")</f>
        <v>0.84575135395510281</v>
      </c>
      <c r="G15" s="35">
        <f>IFERROR(VLOOKUP(Tabela2[[#This Row],[Produto ]],'Custo Produto'!B:R,17,0)," ")</f>
        <v>20.000166456647218</v>
      </c>
      <c r="H15" s="81">
        <v>1</v>
      </c>
      <c r="I15" s="35">
        <v>20</v>
      </c>
      <c r="J15" s="35">
        <v>20</v>
      </c>
      <c r="K15" s="36" t="str">
        <f>IF(Tabela2[[#This Row],[Valor Recebido.]]&gt;=Tabela2[[#This Row],[Valor da Venda]],"PAGO","A RECEBER")</f>
        <v>PAGO</v>
      </c>
      <c r="M15" s="56"/>
      <c r="N15" s="56"/>
      <c r="O15" s="56"/>
      <c r="P15" s="56"/>
      <c r="Q15" s="56"/>
      <c r="R15" s="56"/>
      <c r="S15" s="56"/>
      <c r="T15" s="56"/>
      <c r="U15" s="56"/>
      <c r="V15" s="56"/>
      <c r="W15" s="56"/>
      <c r="X15" s="56"/>
      <c r="Y15" s="56"/>
      <c r="Z15" s="56"/>
      <c r="AA15" s="56"/>
    </row>
    <row r="16" spans="1:27" ht="15.75" customHeight="1" x14ac:dyDescent="0.3">
      <c r="A16" s="32">
        <v>45704</v>
      </c>
      <c r="B16" s="33" t="str">
        <f t="shared" si="0"/>
        <v>fevereiro</v>
      </c>
      <c r="C16" s="33" t="s">
        <v>107</v>
      </c>
      <c r="D16" s="34" t="s">
        <v>63</v>
      </c>
      <c r="E16" s="35">
        <f>IFERROR(VLOOKUP(Tabela2[[#This Row],[Produto ]],'Custo Produto'!B:R,16,0)," ")</f>
        <v>0.84575135395510281</v>
      </c>
      <c r="F16" s="35">
        <f>IFERROR(Tabela2[[#This Row],[Custo Unitario]]*Tabela2[[#This Row],[Quantidade]]," ")</f>
        <v>0.84575135395510281</v>
      </c>
      <c r="G16" s="35">
        <f>IFERROR(VLOOKUP(Tabela2[[#This Row],[Produto ]],'Custo Produto'!B:R,17,0)," ")</f>
        <v>20.000166456647218</v>
      </c>
      <c r="H16" s="81">
        <v>1</v>
      </c>
      <c r="I16" s="35">
        <v>20</v>
      </c>
      <c r="J16" s="35">
        <v>20</v>
      </c>
      <c r="K16" s="36" t="str">
        <f>IF(Tabela2[[#This Row],[Valor Recebido.]]&gt;=Tabela2[[#This Row],[Valor da Venda]],"PAGO","A RECEBER")</f>
        <v>PAGO</v>
      </c>
      <c r="M16" s="56"/>
      <c r="N16" s="56"/>
      <c r="O16" s="56"/>
      <c r="P16" s="56"/>
      <c r="Q16" s="56"/>
      <c r="R16" s="56"/>
      <c r="S16" s="56"/>
      <c r="T16" s="56"/>
      <c r="U16" s="56"/>
      <c r="V16" s="56"/>
      <c r="W16" s="56"/>
      <c r="X16" s="56"/>
      <c r="Y16" s="56"/>
      <c r="Z16" s="56"/>
      <c r="AA16" s="56"/>
    </row>
    <row r="17" spans="1:27" ht="15.75" customHeight="1" x14ac:dyDescent="0.3">
      <c r="A17" s="32">
        <v>45704</v>
      </c>
      <c r="B17" s="33" t="str">
        <f t="shared" si="0"/>
        <v>fevereiro</v>
      </c>
      <c r="C17" s="33" t="s">
        <v>108</v>
      </c>
      <c r="D17" s="34" t="s">
        <v>63</v>
      </c>
      <c r="E17" s="35">
        <f>IFERROR(VLOOKUP(Tabela2[[#This Row],[Produto ]],'Custo Produto'!B:R,16,0)," ")</f>
        <v>0.84575135395510281</v>
      </c>
      <c r="F17" s="35">
        <f>IFERROR(Tabela2[[#This Row],[Custo Unitario]]*Tabela2[[#This Row],[Quantidade]]," ")</f>
        <v>0.84575135395510281</v>
      </c>
      <c r="G17" s="35">
        <f>IFERROR(VLOOKUP(Tabela2[[#This Row],[Produto ]],'Custo Produto'!B:R,17,0)," ")</f>
        <v>20.000166456647218</v>
      </c>
      <c r="H17" s="81">
        <v>1</v>
      </c>
      <c r="I17" s="35">
        <v>20</v>
      </c>
      <c r="J17" s="35">
        <v>20</v>
      </c>
      <c r="K17" s="36" t="str">
        <f>IF(Tabela2[[#This Row],[Valor Recebido.]]&gt;=Tabela2[[#This Row],[Valor da Venda]],"PAGO","A RECEBER")</f>
        <v>PAGO</v>
      </c>
      <c r="M17" s="56"/>
      <c r="N17" s="56"/>
      <c r="O17" s="56"/>
      <c r="P17" s="56"/>
      <c r="Q17" s="56"/>
      <c r="R17" s="56"/>
      <c r="S17" s="56"/>
      <c r="T17" s="56"/>
      <c r="U17" s="56"/>
      <c r="V17" s="56"/>
      <c r="W17" s="56"/>
      <c r="X17" s="56"/>
      <c r="Y17" s="56"/>
      <c r="Z17" s="56"/>
      <c r="AA17" s="56"/>
    </row>
    <row r="18" spans="1:27" ht="15.75" customHeight="1" x14ac:dyDescent="0.3">
      <c r="A18" s="32">
        <v>45704</v>
      </c>
      <c r="B18" s="33" t="str">
        <f t="shared" si="0"/>
        <v>fevereiro</v>
      </c>
      <c r="C18" s="33" t="s">
        <v>109</v>
      </c>
      <c r="D18" s="34" t="s">
        <v>63</v>
      </c>
      <c r="E18" s="35">
        <f>IFERROR(VLOOKUP(Tabela2[[#This Row],[Produto ]],'Custo Produto'!B:R,16,0)," ")</f>
        <v>0.84575135395510281</v>
      </c>
      <c r="F18" s="35">
        <f>IFERROR(Tabela2[[#This Row],[Custo Unitario]]*Tabela2[[#This Row],[Quantidade]]," ")</f>
        <v>0.84575135395510281</v>
      </c>
      <c r="G18" s="35">
        <f>IFERROR(VLOOKUP(Tabela2[[#This Row],[Produto ]],'Custo Produto'!B:R,17,0)," ")</f>
        <v>20.000166456647218</v>
      </c>
      <c r="H18" s="81">
        <v>1</v>
      </c>
      <c r="I18" s="35">
        <v>20.000166456647218</v>
      </c>
      <c r="J18" s="35">
        <v>20.000166456647218</v>
      </c>
      <c r="K18" s="36" t="str">
        <f>IF(Tabela2[[#This Row],[Valor Recebido.]]&gt;=Tabela2[[#This Row],[Valor da Venda]],"PAGO","A RECEBER")</f>
        <v>PAGO</v>
      </c>
      <c r="M18" s="56"/>
      <c r="N18" s="56"/>
      <c r="O18" s="56"/>
      <c r="P18" s="56"/>
      <c r="Q18" s="56"/>
      <c r="R18" s="56"/>
      <c r="S18" s="56"/>
      <c r="T18" s="56"/>
      <c r="U18" s="56"/>
      <c r="V18" s="56"/>
      <c r="W18" s="56"/>
      <c r="X18" s="56"/>
      <c r="Y18" s="56"/>
      <c r="Z18" s="56"/>
      <c r="AA18" s="56"/>
    </row>
    <row r="19" spans="1:27" ht="15.75" customHeight="1" x14ac:dyDescent="0.3">
      <c r="A19" s="32">
        <v>45705</v>
      </c>
      <c r="B19" s="33" t="str">
        <f t="shared" si="0"/>
        <v>fevereiro</v>
      </c>
      <c r="C19" s="33" t="s">
        <v>91</v>
      </c>
      <c r="D19" s="34" t="s">
        <v>58</v>
      </c>
      <c r="E19" s="35">
        <v>31.53</v>
      </c>
      <c r="F19" s="35">
        <f>IFERROR(Tabela2[[#This Row],[Custo Unitario]]*Tabela2[[#This Row],[Quantidade]]," ")</f>
        <v>0</v>
      </c>
      <c r="G19" s="35">
        <v>0</v>
      </c>
      <c r="H19" s="81">
        <v>0</v>
      </c>
      <c r="I19" s="35">
        <v>0</v>
      </c>
      <c r="J19" s="35">
        <v>0</v>
      </c>
      <c r="K19" s="36" t="str">
        <f>IF(Tabela2[[#This Row],[Valor Recebido.]]&gt;=Tabela2[[#This Row],[Valor da Venda]],"PAGO","A RECEBER")</f>
        <v>PAGO</v>
      </c>
      <c r="M19" s="56"/>
      <c r="N19" s="56"/>
      <c r="O19" s="56"/>
      <c r="P19" s="56"/>
      <c r="Q19" s="56"/>
      <c r="R19" s="56"/>
      <c r="S19" s="56"/>
      <c r="T19" s="56"/>
      <c r="U19" s="56"/>
      <c r="V19" s="56"/>
      <c r="W19" s="56"/>
      <c r="X19" s="56"/>
      <c r="Y19" s="56"/>
      <c r="Z19" s="56"/>
      <c r="AA19" s="56"/>
    </row>
    <row r="20" spans="1:27" ht="15.75" customHeight="1" x14ac:dyDescent="0.3">
      <c r="A20" s="32">
        <v>45708</v>
      </c>
      <c r="B20" s="33" t="str">
        <f t="shared" si="0"/>
        <v>fevereiro</v>
      </c>
      <c r="C20" s="33" t="s">
        <v>91</v>
      </c>
      <c r="D20" s="34" t="s">
        <v>58</v>
      </c>
      <c r="E20" s="35">
        <v>25.740000000000002</v>
      </c>
      <c r="F20" s="35">
        <f>IFERROR(Tabela2[[#This Row],[Custo Unitario]]*Tabela2[[#This Row],[Quantidade]]," ")</f>
        <v>0</v>
      </c>
      <c r="G20" s="35">
        <v>0</v>
      </c>
      <c r="H20" s="81">
        <v>0</v>
      </c>
      <c r="I20" s="35">
        <v>0</v>
      </c>
      <c r="J20" s="35">
        <v>0</v>
      </c>
      <c r="K20" s="36" t="str">
        <f>IF(Tabela2[[#This Row],[Valor Recebido.]]&gt;=Tabela2[[#This Row],[Valor da Venda]],"PAGO","A RECEBER")</f>
        <v>PAGO</v>
      </c>
      <c r="M20" s="56"/>
      <c r="N20" s="56"/>
      <c r="O20" s="56"/>
      <c r="P20" s="56"/>
      <c r="Q20" s="56"/>
      <c r="R20" s="56"/>
      <c r="S20" s="56"/>
      <c r="T20" s="56"/>
      <c r="U20" s="56"/>
      <c r="V20" s="56"/>
      <c r="W20" s="56"/>
      <c r="X20" s="56"/>
      <c r="Y20" s="56"/>
      <c r="Z20" s="56"/>
      <c r="AA20" s="56"/>
    </row>
    <row r="21" spans="1:27" ht="15.75" customHeight="1" x14ac:dyDescent="0.3">
      <c r="A21" s="60">
        <v>45709</v>
      </c>
      <c r="B21" s="39" t="str">
        <f t="shared" si="0"/>
        <v>fevereiro</v>
      </c>
      <c r="C21" s="33" t="s">
        <v>91</v>
      </c>
      <c r="D21" s="34" t="s">
        <v>58</v>
      </c>
      <c r="E21" s="61">
        <v>76.63</v>
      </c>
      <c r="F21" s="35">
        <f>IFERROR(Tabela2[[#This Row],[Custo Unitario]]*Tabela2[[#This Row],[Quantidade]]," ")</f>
        <v>0</v>
      </c>
      <c r="G21" s="35">
        <v>0</v>
      </c>
      <c r="H21" s="81">
        <v>0</v>
      </c>
      <c r="I21" s="35">
        <v>0</v>
      </c>
      <c r="J21" s="35">
        <v>0</v>
      </c>
      <c r="K21" s="62" t="str">
        <f>IF(Tabela2[[#This Row],[Valor Recebido.]]&gt;=Tabela2[[#This Row],[Valor da Venda]],"PAGO","A RECEBER")</f>
        <v>PAGO</v>
      </c>
      <c r="M21" s="56"/>
      <c r="N21" s="56"/>
      <c r="O21" s="56"/>
      <c r="P21" s="56"/>
      <c r="Q21" s="56"/>
      <c r="R21" s="56"/>
      <c r="S21" s="56"/>
      <c r="T21" s="56"/>
      <c r="U21" s="56"/>
      <c r="V21" s="56"/>
      <c r="W21" s="56"/>
      <c r="X21" s="56"/>
      <c r="Y21" s="56"/>
      <c r="Z21" s="56"/>
      <c r="AA21" s="56"/>
    </row>
    <row r="22" spans="1:27" ht="15.75" customHeight="1" x14ac:dyDescent="0.3">
      <c r="A22" s="60">
        <v>45709</v>
      </c>
      <c r="B22" s="39" t="str">
        <f t="shared" si="0"/>
        <v>fevereiro</v>
      </c>
      <c r="C22" s="33" t="s">
        <v>91</v>
      </c>
      <c r="D22" s="34" t="s">
        <v>58</v>
      </c>
      <c r="E22" s="61">
        <v>8.6999999999999993</v>
      </c>
      <c r="F22" s="61">
        <f>IFERROR(Tabela2[[#This Row],[Custo Unitario]]*Tabela2[[#This Row],[Quantidade]]," ")</f>
        <v>0</v>
      </c>
      <c r="G22" s="35">
        <v>0</v>
      </c>
      <c r="H22" s="81">
        <v>0</v>
      </c>
      <c r="I22" s="35">
        <v>0</v>
      </c>
      <c r="J22" s="35">
        <v>0</v>
      </c>
      <c r="K22" s="62" t="str">
        <f>IF(Tabela2[[#This Row],[Valor Recebido.]]&gt;=Tabela2[[#This Row],[Valor da Venda]],"PAGO","A RECEBER")</f>
        <v>PAGO</v>
      </c>
      <c r="M22" s="56"/>
      <c r="N22" s="56"/>
      <c r="O22" s="56"/>
      <c r="P22" s="56"/>
      <c r="Q22" s="56"/>
      <c r="R22" s="56"/>
      <c r="S22" s="56"/>
      <c r="T22" s="56"/>
      <c r="U22" s="56"/>
      <c r="V22" s="56"/>
      <c r="W22" s="56"/>
      <c r="X22" s="56"/>
      <c r="Y22" s="56"/>
      <c r="Z22" s="56"/>
      <c r="AA22" s="56"/>
    </row>
    <row r="23" spans="1:27" ht="15.75" customHeight="1" x14ac:dyDescent="0.3">
      <c r="A23" s="60">
        <v>45709</v>
      </c>
      <c r="B23" s="39" t="str">
        <f t="shared" si="0"/>
        <v>fevereiro</v>
      </c>
      <c r="C23" s="33" t="s">
        <v>91</v>
      </c>
      <c r="D23" s="34" t="s">
        <v>58</v>
      </c>
      <c r="E23" s="61">
        <v>255.72</v>
      </c>
      <c r="F23" s="61">
        <f>IFERROR(Tabela2[[#This Row],[Custo Unitario]]*Tabela2[[#This Row],[Quantidade]]," ")</f>
        <v>0</v>
      </c>
      <c r="G23" s="35">
        <v>0</v>
      </c>
      <c r="H23" s="81">
        <v>0</v>
      </c>
      <c r="I23" s="35">
        <v>0</v>
      </c>
      <c r="J23" s="35">
        <v>0</v>
      </c>
      <c r="K23" s="62" t="str">
        <f>IF(Tabela2[[#This Row],[Valor Recebido.]]&gt;=Tabela2[[#This Row],[Valor da Venda]],"PAGO","A RECEBER")</f>
        <v>PAGO</v>
      </c>
      <c r="M23" s="56"/>
      <c r="N23" s="56"/>
      <c r="O23" s="56"/>
      <c r="P23" s="56"/>
      <c r="Q23" s="56"/>
      <c r="R23" s="56"/>
      <c r="S23" s="56"/>
      <c r="T23" s="56"/>
      <c r="U23" s="56"/>
      <c r="V23" s="56"/>
      <c r="W23" s="56"/>
      <c r="X23" s="56"/>
      <c r="Y23" s="56"/>
      <c r="Z23" s="56"/>
      <c r="AA23" s="56"/>
    </row>
    <row r="24" spans="1:27" ht="15.75" customHeight="1" x14ac:dyDescent="0.3">
      <c r="A24" s="32">
        <v>45710</v>
      </c>
      <c r="B24" s="33" t="str">
        <f t="shared" si="0"/>
        <v>fevereiro</v>
      </c>
      <c r="C24" s="33" t="s">
        <v>91</v>
      </c>
      <c r="D24" s="34" t="s">
        <v>58</v>
      </c>
      <c r="E24" s="35">
        <v>44.4</v>
      </c>
      <c r="F24" s="35">
        <f>IFERROR(Tabela2[[#This Row],[Custo Unitario]]*Tabela2[[#This Row],[Quantidade]]," ")</f>
        <v>0</v>
      </c>
      <c r="G24" s="35">
        <v>0</v>
      </c>
      <c r="H24" s="81">
        <v>0</v>
      </c>
      <c r="I24" s="35">
        <v>0</v>
      </c>
      <c r="J24" s="35">
        <v>0</v>
      </c>
      <c r="K24" s="36" t="str">
        <f>IF(Tabela2[[#This Row],[Valor Recebido.]]&gt;=Tabela2[[#This Row],[Valor da Venda]],"PAGO","A RECEBER")</f>
        <v>PAGO</v>
      </c>
      <c r="M24" s="56"/>
      <c r="N24" s="56"/>
      <c r="O24" s="56"/>
      <c r="P24" s="56"/>
      <c r="Q24" s="56"/>
      <c r="R24" s="56"/>
      <c r="S24" s="56"/>
      <c r="T24" s="56"/>
      <c r="U24" s="56"/>
      <c r="V24" s="56"/>
      <c r="W24" s="56"/>
      <c r="X24" s="56"/>
      <c r="Y24" s="56"/>
      <c r="Z24" s="56"/>
      <c r="AA24" s="56"/>
    </row>
    <row r="25" spans="1:27" ht="15.75" customHeight="1" x14ac:dyDescent="0.3">
      <c r="A25" s="32">
        <v>45711</v>
      </c>
      <c r="B25" s="39" t="str">
        <f t="shared" si="0"/>
        <v>fevereiro</v>
      </c>
      <c r="C25" s="33" t="s">
        <v>111</v>
      </c>
      <c r="D25" s="34" t="s">
        <v>63</v>
      </c>
      <c r="E25" s="35">
        <f>IFERROR(VLOOKUP(Tabela2[[#This Row],[Produto ]],'Custo Produto'!B:R,16,0)," ")</f>
        <v>0.84575135395510281</v>
      </c>
      <c r="F25" s="35">
        <f>IFERROR(Tabela2[[#This Row],[Custo Unitario]]*Tabela2[[#This Row],[Quantidade]]," ")</f>
        <v>1.6915027079102056</v>
      </c>
      <c r="G25" s="35">
        <f>IFERROR(VLOOKUP(Tabela2[[#This Row],[Produto ]],'Custo Produto'!B:R,17,0)," ")</f>
        <v>20.000166456647218</v>
      </c>
      <c r="H25" s="81">
        <v>2</v>
      </c>
      <c r="I25" s="35">
        <v>40.000332913294436</v>
      </c>
      <c r="J25" s="35">
        <v>40.000332913294436</v>
      </c>
      <c r="K25" s="36" t="str">
        <f>IF(Tabela2[[#This Row],[Valor Recebido.]]&gt;=Tabela2[[#This Row],[Valor da Venda]],"PAGO","A RECEBER")</f>
        <v>PAGO</v>
      </c>
      <c r="M25" s="56"/>
      <c r="N25" s="56"/>
      <c r="O25" s="56"/>
      <c r="P25" s="56"/>
      <c r="Q25" s="56"/>
      <c r="R25" s="56"/>
      <c r="S25" s="56"/>
      <c r="T25" s="56"/>
      <c r="U25" s="56"/>
      <c r="V25" s="56"/>
      <c r="W25" s="56"/>
      <c r="X25" s="56"/>
      <c r="Y25" s="56"/>
      <c r="Z25" s="56"/>
      <c r="AA25" s="56"/>
    </row>
    <row r="26" spans="1:27" ht="15.75" customHeight="1" x14ac:dyDescent="0.3">
      <c r="A26" s="32">
        <v>45711</v>
      </c>
      <c r="B26" s="33" t="str">
        <f t="shared" si="0"/>
        <v>fevereiro</v>
      </c>
      <c r="C26" s="33" t="s">
        <v>112</v>
      </c>
      <c r="D26" s="34" t="s">
        <v>63</v>
      </c>
      <c r="E26" s="35">
        <f>IFERROR(VLOOKUP(Tabela2[[#This Row],[Produto ]],'Custo Produto'!B:R,16,0)," ")</f>
        <v>0.84575135395510281</v>
      </c>
      <c r="F26" s="35">
        <f>IFERROR(Tabela2[[#This Row],[Custo Unitario]]*Tabela2[[#This Row],[Quantidade]]," ")</f>
        <v>1.6915027079102056</v>
      </c>
      <c r="G26" s="35">
        <f>IFERROR(VLOOKUP(Tabela2[[#This Row],[Produto ]],'Custo Produto'!B:R,17,0)," ")</f>
        <v>20.000166456647218</v>
      </c>
      <c r="H26" s="81">
        <v>2</v>
      </c>
      <c r="I26" s="35">
        <v>40.000332913294436</v>
      </c>
      <c r="J26" s="35">
        <v>40.000332913294436</v>
      </c>
      <c r="K26" s="36" t="str">
        <f>IF(Tabela2[[#This Row],[Valor Recebido.]]&gt;=Tabela2[[#This Row],[Valor da Venda]],"PAGO","A RECEBER")</f>
        <v>PAGO</v>
      </c>
      <c r="L26" s="56"/>
      <c r="M26" s="56"/>
      <c r="N26" s="56"/>
      <c r="O26" s="56"/>
      <c r="P26" s="56"/>
      <c r="Q26" s="56"/>
      <c r="R26" s="56"/>
      <c r="S26" s="56"/>
      <c r="T26" s="56"/>
      <c r="U26" s="56"/>
      <c r="V26" s="56"/>
      <c r="W26" s="56"/>
      <c r="X26" s="56"/>
      <c r="Y26" s="56"/>
      <c r="Z26" s="56"/>
      <c r="AA26" s="56"/>
    </row>
    <row r="27" spans="1:27" ht="15.75" customHeight="1" x14ac:dyDescent="0.3">
      <c r="A27" s="32">
        <v>45711</v>
      </c>
      <c r="B27" s="33" t="str">
        <f t="shared" si="0"/>
        <v>fevereiro</v>
      </c>
      <c r="C27" s="33" t="s">
        <v>94</v>
      </c>
      <c r="D27" s="34" t="s">
        <v>63</v>
      </c>
      <c r="E27" s="35">
        <f>IFERROR(VLOOKUP(Tabela2[[#This Row],[Produto ]],'Custo Produto'!B:R,16,0)," ")</f>
        <v>0.84575135395510281</v>
      </c>
      <c r="F27" s="35">
        <f>IFERROR(Tabela2[[#This Row],[Custo Unitario]]*Tabela2[[#This Row],[Quantidade]]," ")</f>
        <v>0.84575135395510281</v>
      </c>
      <c r="G27" s="35">
        <f>IFERROR(VLOOKUP(Tabela2[[#This Row],[Produto ]],'Custo Produto'!B:R,17,0)," ")</f>
        <v>20.000166456647218</v>
      </c>
      <c r="H27" s="81">
        <v>1</v>
      </c>
      <c r="I27" s="35">
        <v>20.000166456647218</v>
      </c>
      <c r="J27" s="35">
        <v>20.000166456647218</v>
      </c>
      <c r="K27" s="36" t="str">
        <f>IF(Tabela2[[#This Row],[Valor Recebido.]]&gt;=Tabela2[[#This Row],[Valor da Venda]],"PAGO","A RECEBER")</f>
        <v>PAGO</v>
      </c>
      <c r="L27" s="56"/>
      <c r="M27" s="56"/>
      <c r="N27" s="56"/>
      <c r="O27" s="56"/>
      <c r="P27" s="56"/>
      <c r="Q27" s="56"/>
      <c r="R27" s="56"/>
      <c r="S27" s="56"/>
      <c r="T27" s="56"/>
      <c r="U27" s="56"/>
      <c r="V27" s="56"/>
      <c r="W27" s="56"/>
      <c r="X27" s="56"/>
      <c r="Y27" s="56"/>
      <c r="Z27" s="56"/>
      <c r="AA27" s="56"/>
    </row>
    <row r="28" spans="1:27" ht="15.75" customHeight="1" x14ac:dyDescent="0.3">
      <c r="A28" s="32">
        <v>45711</v>
      </c>
      <c r="B28" s="33" t="str">
        <f t="shared" si="0"/>
        <v>fevereiro</v>
      </c>
      <c r="C28" s="33" t="s">
        <v>113</v>
      </c>
      <c r="D28" s="34" t="s">
        <v>63</v>
      </c>
      <c r="E28" s="35">
        <f>IFERROR(VLOOKUP(Tabela2[[#This Row],[Produto ]],'Custo Produto'!B:R,16,0)," ")</f>
        <v>0.84575135395510281</v>
      </c>
      <c r="F28" s="35">
        <f>IFERROR(Tabela2[[#This Row],[Custo Unitario]]*Tabela2[[#This Row],[Quantidade]]," ")</f>
        <v>0.84575135395510281</v>
      </c>
      <c r="G28" s="35">
        <f>IFERROR(VLOOKUP(Tabela2[[#This Row],[Produto ]],'Custo Produto'!B:R,17,0)," ")</f>
        <v>20.000166456647218</v>
      </c>
      <c r="H28" s="81">
        <v>1</v>
      </c>
      <c r="I28" s="35">
        <v>20.000166456647218</v>
      </c>
      <c r="J28" s="35">
        <v>20.000166456647218</v>
      </c>
      <c r="K28" s="36" t="str">
        <f>IF(Tabela2[[#This Row],[Valor Recebido.]]&gt;=Tabela2[[#This Row],[Valor da Venda]],"PAGO","A RECEBER")</f>
        <v>PAGO</v>
      </c>
      <c r="L28" s="56"/>
      <c r="M28" s="56"/>
      <c r="N28" s="56"/>
      <c r="O28" s="56"/>
      <c r="P28" s="56"/>
      <c r="Q28" s="56"/>
      <c r="R28" s="56"/>
      <c r="S28" s="56"/>
      <c r="T28" s="56"/>
      <c r="U28" s="56"/>
      <c r="V28" s="56"/>
      <c r="W28" s="56"/>
      <c r="X28" s="56"/>
      <c r="Y28" s="56"/>
      <c r="Z28" s="56"/>
      <c r="AA28" s="56"/>
    </row>
    <row r="29" spans="1:27" ht="15.75" customHeight="1" x14ac:dyDescent="0.3">
      <c r="A29" s="32">
        <v>45711</v>
      </c>
      <c r="B29" s="33" t="str">
        <f t="shared" si="0"/>
        <v>fevereiro</v>
      </c>
      <c r="C29" s="33" t="s">
        <v>99</v>
      </c>
      <c r="D29" s="34" t="s">
        <v>63</v>
      </c>
      <c r="E29" s="35">
        <f>IFERROR(VLOOKUP(Tabela2[[#This Row],[Produto ]],'Custo Produto'!B:R,16,0)," ")</f>
        <v>0.84575135395510281</v>
      </c>
      <c r="F29" s="35">
        <f>IFERROR(Tabela2[[#This Row],[Custo Unitario]]*Tabela2[[#This Row],[Quantidade]]," ")</f>
        <v>2.5372540618653083</v>
      </c>
      <c r="G29" s="35">
        <f>IFERROR(VLOOKUP(Tabela2[[#This Row],[Produto ]],'Custo Produto'!B:R,17,0)," ")</f>
        <v>20.000166456647218</v>
      </c>
      <c r="H29" s="81">
        <v>3</v>
      </c>
      <c r="I29" s="35">
        <v>60.00049936994165</v>
      </c>
      <c r="J29" s="35">
        <v>60.00049936994165</v>
      </c>
      <c r="K29" s="36" t="str">
        <f>IF(Tabela2[[#This Row],[Valor Recebido.]]&gt;=Tabela2[[#This Row],[Valor da Venda]],"PAGO","A RECEBER")</f>
        <v>PAGO</v>
      </c>
      <c r="L29" s="56"/>
      <c r="M29" s="56"/>
      <c r="N29" s="56"/>
      <c r="O29" s="56"/>
      <c r="P29" s="56"/>
      <c r="Q29" s="56"/>
      <c r="R29" s="56"/>
      <c r="S29" s="56"/>
      <c r="T29" s="56"/>
      <c r="U29" s="56"/>
      <c r="V29" s="56"/>
      <c r="W29" s="56"/>
      <c r="X29" s="56"/>
      <c r="Y29" s="56"/>
      <c r="Z29" s="56"/>
      <c r="AA29" s="56"/>
    </row>
    <row r="30" spans="1:27" ht="15.75" customHeight="1" x14ac:dyDescent="0.3">
      <c r="A30" s="32">
        <v>45711</v>
      </c>
      <c r="B30" s="33" t="str">
        <f t="shared" si="0"/>
        <v>fevereiro</v>
      </c>
      <c r="C30" s="33" t="s">
        <v>93</v>
      </c>
      <c r="D30" s="34" t="s">
        <v>63</v>
      </c>
      <c r="E30" s="35">
        <f>IFERROR(VLOOKUP(Tabela2[[#This Row],[Produto ]],'Custo Produto'!B:R,16,0)," ")</f>
        <v>0.84575135395510281</v>
      </c>
      <c r="F30" s="35">
        <f>IFERROR(Tabela2[[#This Row],[Custo Unitario]]*Tabela2[[#This Row],[Quantidade]]," ")</f>
        <v>0.84575135395510281</v>
      </c>
      <c r="G30" s="35">
        <f>IFERROR(VLOOKUP(Tabela2[[#This Row],[Produto ]],'Custo Produto'!B:R,17,0)," ")</f>
        <v>20.000166456647218</v>
      </c>
      <c r="H30" s="81">
        <v>1</v>
      </c>
      <c r="I30" s="35">
        <v>20.000166456647218</v>
      </c>
      <c r="J30" s="35">
        <v>20.000166456647218</v>
      </c>
      <c r="K30" s="36" t="str">
        <f>IF(Tabela2[[#This Row],[Valor Recebido.]]&gt;=Tabela2[[#This Row],[Valor da Venda]],"PAGO","A RECEBER")</f>
        <v>PAGO</v>
      </c>
      <c r="L30" s="56"/>
      <c r="M30" s="56"/>
      <c r="N30" s="56"/>
      <c r="O30" s="56"/>
      <c r="P30" s="56"/>
      <c r="Q30" s="56"/>
      <c r="R30" s="56"/>
      <c r="S30" s="56"/>
      <c r="T30" s="56"/>
      <c r="U30" s="56"/>
      <c r="V30" s="56"/>
      <c r="W30" s="56"/>
      <c r="X30" s="56"/>
      <c r="Y30" s="56"/>
      <c r="Z30" s="56"/>
      <c r="AA30" s="56"/>
    </row>
    <row r="31" spans="1:27" ht="15.75" customHeight="1" x14ac:dyDescent="0.3">
      <c r="A31" s="32">
        <v>45711</v>
      </c>
      <c r="B31" s="33" t="str">
        <f t="shared" si="0"/>
        <v>fevereiro</v>
      </c>
      <c r="C31" s="33" t="s">
        <v>117</v>
      </c>
      <c r="D31" s="34" t="s">
        <v>63</v>
      </c>
      <c r="E31" s="35">
        <f>IFERROR(VLOOKUP(Tabela2[[#This Row],[Produto ]],'Custo Produto'!B:R,16,0)," ")</f>
        <v>0.84575135395510281</v>
      </c>
      <c r="F31" s="35">
        <f>IFERROR(Tabela2[[#This Row],[Custo Unitario]]*Tabela2[[#This Row],[Quantidade]]," ")</f>
        <v>0.84575135395510281</v>
      </c>
      <c r="G31" s="35">
        <f>IFERROR(VLOOKUP(Tabela2[[#This Row],[Produto ]],'Custo Produto'!B:R,17,0)," ")</f>
        <v>20.000166456647218</v>
      </c>
      <c r="H31" s="81">
        <v>1</v>
      </c>
      <c r="I31" s="35">
        <v>20</v>
      </c>
      <c r="J31" s="35">
        <v>20</v>
      </c>
      <c r="K31" s="36" t="str">
        <f>IF(Tabela2[[#This Row],[Valor Recebido.]]&gt;=Tabela2[[#This Row],[Valor da Venda]],"PAGO","A RECEBER")</f>
        <v>PAGO</v>
      </c>
      <c r="L31" s="56"/>
      <c r="M31" s="56"/>
      <c r="N31" s="56"/>
      <c r="O31" s="56"/>
      <c r="P31" s="56"/>
      <c r="Q31" s="56"/>
      <c r="R31" s="56"/>
      <c r="S31" s="56"/>
      <c r="T31" s="56"/>
      <c r="U31" s="56"/>
      <c r="V31" s="56"/>
      <c r="W31" s="56"/>
      <c r="X31" s="56"/>
      <c r="Y31" s="56"/>
      <c r="Z31" s="56"/>
      <c r="AA31" s="56"/>
    </row>
    <row r="32" spans="1:27" ht="15.75" customHeight="1" x14ac:dyDescent="0.3">
      <c r="A32" s="32">
        <v>45711</v>
      </c>
      <c r="B32" s="33" t="str">
        <f t="shared" si="0"/>
        <v>fevereiro</v>
      </c>
      <c r="C32" s="33" t="s">
        <v>116</v>
      </c>
      <c r="D32" s="34" t="s">
        <v>63</v>
      </c>
      <c r="E32" s="35">
        <f>IFERROR(VLOOKUP(Tabela2[[#This Row],[Produto ]],'Custo Produto'!B:R,16,0)," ")</f>
        <v>0.84575135395510281</v>
      </c>
      <c r="F32" s="35">
        <f>IFERROR(Tabela2[[#This Row],[Custo Unitario]]*Tabela2[[#This Row],[Quantidade]]," ")</f>
        <v>1.6915027079102056</v>
      </c>
      <c r="G32" s="35">
        <f>IFERROR(VLOOKUP(Tabela2[[#This Row],[Produto ]],'Custo Produto'!B:R,17,0)," ")</f>
        <v>20.000166456647218</v>
      </c>
      <c r="H32" s="81">
        <v>2</v>
      </c>
      <c r="I32" s="35">
        <v>40</v>
      </c>
      <c r="J32" s="35">
        <v>40</v>
      </c>
      <c r="K32" s="36" t="str">
        <f>IF(Tabela2[[#This Row],[Valor Recebido.]]&gt;=Tabela2[[#This Row],[Valor da Venda]],"PAGO","A RECEBER")</f>
        <v>PAGO</v>
      </c>
      <c r="L32" s="56"/>
      <c r="M32" s="56"/>
      <c r="N32" s="56"/>
      <c r="O32" s="56"/>
      <c r="P32" s="56"/>
      <c r="Q32" s="56"/>
      <c r="R32" s="56"/>
      <c r="S32" s="56"/>
      <c r="T32" s="56"/>
      <c r="U32" s="56"/>
      <c r="V32" s="56"/>
      <c r="W32" s="56"/>
      <c r="X32" s="56"/>
      <c r="Y32" s="56"/>
      <c r="Z32" s="56"/>
      <c r="AA32" s="56"/>
    </row>
    <row r="33" spans="1:27" ht="15.75" customHeight="1" x14ac:dyDescent="0.3">
      <c r="A33" s="60">
        <v>45712</v>
      </c>
      <c r="B33" s="33" t="str">
        <f t="shared" si="0"/>
        <v>fevereiro</v>
      </c>
      <c r="C33" s="33" t="s">
        <v>91</v>
      </c>
      <c r="D33" s="34" t="s">
        <v>58</v>
      </c>
      <c r="E33" s="61">
        <v>140.79</v>
      </c>
      <c r="F33" s="35">
        <f>IFERROR(Tabela2[[#This Row],[Custo Unitario]]*Tabela2[[#This Row],[Quantidade]]," ")</f>
        <v>0</v>
      </c>
      <c r="G33" s="35">
        <v>0</v>
      </c>
      <c r="H33" s="81">
        <v>0</v>
      </c>
      <c r="I33" s="35">
        <v>0</v>
      </c>
      <c r="J33" s="35">
        <v>0</v>
      </c>
      <c r="K33" s="62" t="str">
        <f>IF(Tabela2[[#This Row],[Valor Recebido.]]&gt;=Tabela2[[#This Row],[Valor da Venda]],"PAGO","A RECEBER")</f>
        <v>PAGO</v>
      </c>
      <c r="L33" s="56"/>
      <c r="M33" s="56"/>
      <c r="N33" s="56"/>
      <c r="O33" s="56"/>
      <c r="P33" s="56"/>
      <c r="Q33" s="56"/>
      <c r="R33" s="56"/>
      <c r="S33" s="56"/>
      <c r="T33" s="56"/>
      <c r="U33" s="56"/>
      <c r="V33" s="56"/>
      <c r="W33" s="56"/>
      <c r="X33" s="56"/>
      <c r="Y33" s="56"/>
      <c r="Z33" s="56"/>
      <c r="AA33" s="56"/>
    </row>
    <row r="34" spans="1:27" ht="15.75" customHeight="1" x14ac:dyDescent="0.3">
      <c r="A34" s="60">
        <v>45712</v>
      </c>
      <c r="B34" s="33" t="str">
        <f t="shared" ref="B34:B65" si="1">TEXT(A34,"mmmm")</f>
        <v>fevereiro</v>
      </c>
      <c r="C34" s="39" t="s">
        <v>91</v>
      </c>
      <c r="D34" s="34" t="s">
        <v>58</v>
      </c>
      <c r="E34" s="95">
        <v>23.89</v>
      </c>
      <c r="F34" s="95">
        <f>IFERROR(Tabela2[[#This Row],[Custo Unitario]]*Tabela2[[#This Row],[Quantidade]]," ")</f>
        <v>0</v>
      </c>
      <c r="G34" s="41">
        <v>0</v>
      </c>
      <c r="H34" s="81">
        <v>0</v>
      </c>
      <c r="I34" s="35">
        <v>0</v>
      </c>
      <c r="J34" s="35">
        <v>0</v>
      </c>
      <c r="K34" s="97" t="str">
        <f>IF(Tabela2[[#This Row],[Valor Recebido.]]&gt;=Tabela2[[#This Row],[Valor da Venda]],"PAGO","A RECEBER")</f>
        <v>PAGO</v>
      </c>
      <c r="L34" s="56"/>
      <c r="M34" s="56"/>
      <c r="N34" s="56"/>
      <c r="O34" s="56"/>
      <c r="P34" s="56"/>
      <c r="Q34" s="56"/>
      <c r="R34" s="56"/>
      <c r="S34" s="56"/>
      <c r="T34" s="56"/>
      <c r="U34" s="56"/>
      <c r="V34" s="56"/>
      <c r="W34" s="56"/>
      <c r="X34" s="56"/>
      <c r="Y34" s="56"/>
      <c r="Z34" s="56"/>
      <c r="AA34" s="56"/>
    </row>
    <row r="35" spans="1:27" ht="15.75" customHeight="1" x14ac:dyDescent="0.3">
      <c r="A35" s="32">
        <v>45714</v>
      </c>
      <c r="B35" s="33" t="str">
        <f t="shared" si="1"/>
        <v>fevereiro</v>
      </c>
      <c r="C35" s="33" t="s">
        <v>106</v>
      </c>
      <c r="D35" s="34" t="s">
        <v>64</v>
      </c>
      <c r="E35" s="35">
        <f>IFERROR(VLOOKUP(Tabela2[[#This Row],[Produto ]],'Custo Produto'!B:R,16,0)," ")</f>
        <v>0.84618865765682594</v>
      </c>
      <c r="F35" s="35">
        <f>IFERROR(Tabela2[[#This Row],[Custo Unitario]]*Tabela2[[#This Row],[Quantidade]]," ")</f>
        <v>1.2692829864852389</v>
      </c>
      <c r="G35" s="35">
        <f>IFERROR(VLOOKUP(Tabela2[[#This Row],[Produto ]],'Custo Produto'!B:R,17,0)," ")</f>
        <v>169.99682897253953</v>
      </c>
      <c r="H35" s="81">
        <v>1.5</v>
      </c>
      <c r="I35" s="35">
        <v>255</v>
      </c>
      <c r="J35" s="35">
        <v>255</v>
      </c>
      <c r="K35" s="36" t="str">
        <f>IF(Tabela2[[#This Row],[Valor Recebido.]]&gt;=Tabela2[[#This Row],[Valor da Venda]],"PAGO","A RECEBER")</f>
        <v>PAGO</v>
      </c>
      <c r="L35" s="56"/>
      <c r="M35" s="56"/>
      <c r="N35" s="56"/>
      <c r="O35" s="56"/>
      <c r="P35" s="56"/>
      <c r="Q35" s="56"/>
      <c r="R35" s="56"/>
      <c r="S35" s="56"/>
      <c r="T35" s="56"/>
      <c r="U35" s="56"/>
      <c r="V35" s="56"/>
      <c r="W35" s="56"/>
      <c r="X35" s="56"/>
      <c r="Y35" s="56"/>
      <c r="Z35" s="56"/>
      <c r="AA35" s="56"/>
    </row>
    <row r="36" spans="1:27" ht="15.75" customHeight="1" x14ac:dyDescent="0.3">
      <c r="A36" s="32">
        <v>45714</v>
      </c>
      <c r="B36" s="33" t="str">
        <f t="shared" si="1"/>
        <v>fevereiro</v>
      </c>
      <c r="C36" s="39" t="s">
        <v>106</v>
      </c>
      <c r="D36" s="34" t="s">
        <v>64</v>
      </c>
      <c r="E36" s="41">
        <f>IFERROR(VLOOKUP(Tabela2[[#This Row],[Produto ]],'Custo Produto'!B:R,16,0)," ")</f>
        <v>0.84618865765682594</v>
      </c>
      <c r="F36" s="41">
        <f>IFERROR(Tabela2[[#This Row],[Custo Unitario]]*Tabela2[[#This Row],[Quantidade]]," ")</f>
        <v>0.84618865765682594</v>
      </c>
      <c r="G36" s="41">
        <v>200</v>
      </c>
      <c r="H36" s="82">
        <v>1</v>
      </c>
      <c r="I36" s="35">
        <v>200</v>
      </c>
      <c r="J36" s="35">
        <v>200</v>
      </c>
      <c r="K36" s="42" t="str">
        <f>IF(Tabela2[[#This Row],[Valor Recebido.]]&gt;=Tabela2[[#This Row],[Valor da Venda]],"PAGO","A RECEBER")</f>
        <v>PAGO</v>
      </c>
      <c r="L36" s="56"/>
      <c r="M36" s="56"/>
      <c r="N36" s="56"/>
      <c r="O36" s="56"/>
      <c r="P36" s="56"/>
      <c r="Q36" s="56"/>
      <c r="R36" s="56"/>
      <c r="S36" s="56"/>
      <c r="T36" s="56"/>
      <c r="U36" s="56"/>
      <c r="V36" s="56"/>
      <c r="W36" s="56"/>
      <c r="X36" s="56"/>
      <c r="Y36" s="56"/>
      <c r="Z36" s="56"/>
      <c r="AA36" s="56"/>
    </row>
    <row r="37" spans="1:27" ht="15.75" customHeight="1" x14ac:dyDescent="0.3">
      <c r="A37" s="60">
        <v>45717</v>
      </c>
      <c r="B37" s="33" t="str">
        <f t="shared" si="1"/>
        <v>março</v>
      </c>
      <c r="C37" s="87" t="s">
        <v>91</v>
      </c>
      <c r="D37" s="93" t="s">
        <v>58</v>
      </c>
      <c r="E37" s="61">
        <v>138</v>
      </c>
      <c r="F37" s="35">
        <f>IFERROR(Tabela2[[#This Row],[Custo Unitario]]*Tabela2[[#This Row],[Quantidade]]," ")</f>
        <v>0</v>
      </c>
      <c r="G37" s="35">
        <v>0</v>
      </c>
      <c r="H37" s="81">
        <v>0</v>
      </c>
      <c r="I37" s="35">
        <v>0</v>
      </c>
      <c r="J37" s="35">
        <v>0</v>
      </c>
      <c r="K37" s="62" t="str">
        <f>IF(Tabela2[[#This Row],[Valor Recebido.]]&gt;=Tabela2[[#This Row],[Valor da Venda]],"PAGO","A RECEBER")</f>
        <v>PAGO</v>
      </c>
      <c r="L37" s="56"/>
      <c r="M37" s="56"/>
      <c r="N37" s="56"/>
      <c r="O37" s="56"/>
      <c r="P37" s="56"/>
      <c r="Q37" s="56"/>
      <c r="R37" s="56"/>
      <c r="S37" s="56"/>
      <c r="T37" s="56"/>
      <c r="U37" s="56"/>
      <c r="V37" s="56"/>
      <c r="W37" s="56"/>
      <c r="X37" s="56"/>
      <c r="Y37" s="56"/>
      <c r="Z37" s="56"/>
      <c r="AA37" s="56"/>
    </row>
    <row r="38" spans="1:27" ht="15.75" customHeight="1" x14ac:dyDescent="0.3">
      <c r="A38" s="60">
        <v>45717</v>
      </c>
      <c r="B38" s="33" t="str">
        <f t="shared" si="1"/>
        <v>março</v>
      </c>
      <c r="C38" s="33" t="s">
        <v>112</v>
      </c>
      <c r="D38" s="34" t="s">
        <v>63</v>
      </c>
      <c r="E38" s="61">
        <f>IFERROR(VLOOKUP(Tabela2[[#This Row],[Produto ]],'Custo Produto'!B:R,16,0)," ")</f>
        <v>0.84575135395510281</v>
      </c>
      <c r="F38" s="61">
        <f>IFERROR(Tabela2[[#This Row],[Custo Unitario]]*Tabela2[[#This Row],[Quantidade]]," ")</f>
        <v>4.2287567697755142</v>
      </c>
      <c r="G38" s="61">
        <f>IFERROR(VLOOKUP(Tabela2[[#This Row],[Produto ]],'Custo Produto'!B:R,17,0)," ")</f>
        <v>20.000166456647218</v>
      </c>
      <c r="H38" s="88">
        <v>5</v>
      </c>
      <c r="I38" s="61">
        <v>100</v>
      </c>
      <c r="J38" s="61">
        <v>100</v>
      </c>
      <c r="K38" s="62" t="str">
        <f>IF(Tabela2[[#This Row],[Valor Recebido.]]&gt;=Tabela2[[#This Row],[Valor da Venda]],"PAGO","A RECEBER")</f>
        <v>PAGO</v>
      </c>
      <c r="L38" s="56"/>
      <c r="M38" s="56"/>
      <c r="N38" s="56"/>
      <c r="O38" s="56"/>
      <c r="P38" s="56"/>
      <c r="Q38" s="56"/>
      <c r="R38" s="56"/>
      <c r="S38" s="56"/>
      <c r="T38" s="56"/>
      <c r="U38" s="56"/>
      <c r="V38" s="56"/>
      <c r="W38" s="56"/>
      <c r="X38" s="56"/>
      <c r="Y38" s="56"/>
      <c r="Z38" s="56"/>
      <c r="AA38" s="56"/>
    </row>
    <row r="39" spans="1:27" ht="15.75" customHeight="1" x14ac:dyDescent="0.3">
      <c r="A39" s="60">
        <v>45717</v>
      </c>
      <c r="B39" s="33" t="str">
        <f t="shared" si="1"/>
        <v>março</v>
      </c>
      <c r="C39" s="94" t="s">
        <v>180</v>
      </c>
      <c r="D39" s="34" t="s">
        <v>63</v>
      </c>
      <c r="E39" s="95">
        <f>IFERROR(VLOOKUP(Tabela2[[#This Row],[Produto ]],'Custo Produto'!B:R,16,0)," ")</f>
        <v>0.84575135395510281</v>
      </c>
      <c r="F39" s="95">
        <f>IFERROR(Tabela2[[#This Row],[Custo Unitario]]*Tabela2[[#This Row],[Quantidade]]," ")</f>
        <v>1.6915027079102056</v>
      </c>
      <c r="G39" s="95">
        <f>IFERROR(VLOOKUP(Tabela2[[#This Row],[Produto ]],'Custo Produto'!B:R,17,0)," ")</f>
        <v>20.000166456647218</v>
      </c>
      <c r="H39" s="96">
        <v>2</v>
      </c>
      <c r="I39" s="61">
        <v>40</v>
      </c>
      <c r="J39" s="61">
        <v>40</v>
      </c>
      <c r="K39" s="97" t="str">
        <f>IF(Tabela2[[#This Row],[Valor Recebido.]]&gt;=Tabela2[[#This Row],[Valor da Venda]],"PAGO","A RECEBER")</f>
        <v>PAGO</v>
      </c>
      <c r="L39" s="56"/>
      <c r="M39" s="56"/>
      <c r="N39" s="56"/>
      <c r="O39" s="56"/>
      <c r="P39" s="56"/>
      <c r="Q39" s="56"/>
      <c r="R39" s="56"/>
      <c r="S39" s="56"/>
      <c r="T39" s="56"/>
      <c r="U39" s="56"/>
      <c r="V39" s="56"/>
      <c r="W39" s="56"/>
      <c r="X39" s="56"/>
      <c r="Y39" s="56"/>
      <c r="Z39" s="56"/>
      <c r="AA39" s="56"/>
    </row>
    <row r="40" spans="1:27" ht="15.75" customHeight="1" x14ac:dyDescent="0.3">
      <c r="A40" s="60">
        <v>45717</v>
      </c>
      <c r="B40" s="33" t="str">
        <f t="shared" si="1"/>
        <v>março</v>
      </c>
      <c r="C40" s="94" t="s">
        <v>181</v>
      </c>
      <c r="D40" s="34" t="s">
        <v>63</v>
      </c>
      <c r="E40" s="95">
        <f>IFERROR(VLOOKUP(Tabela2[[#This Row],[Produto ]],'Custo Produto'!B:R,16,0)," ")</f>
        <v>0.84575135395510281</v>
      </c>
      <c r="F40" s="95">
        <f>IFERROR(Tabela2[[#This Row],[Custo Unitario]]*Tabela2[[#This Row],[Quantidade]]," ")</f>
        <v>0.84575135395510281</v>
      </c>
      <c r="G40" s="95">
        <f>IFERROR(VLOOKUP(Tabela2[[#This Row],[Produto ]],'Custo Produto'!B:R,17,0)," ")</f>
        <v>20.000166456647218</v>
      </c>
      <c r="H40" s="96">
        <v>1</v>
      </c>
      <c r="I40" s="61">
        <v>20</v>
      </c>
      <c r="J40" s="61">
        <v>20</v>
      </c>
      <c r="K40" s="97" t="str">
        <f>IF(Tabela2[[#This Row],[Valor Recebido.]]&gt;=Tabela2[[#This Row],[Valor da Venda]],"PAGO","A RECEBER")</f>
        <v>PAGO</v>
      </c>
      <c r="L40" s="56"/>
      <c r="M40" s="56"/>
      <c r="N40" s="56"/>
      <c r="O40" s="56"/>
      <c r="P40" s="56"/>
      <c r="Q40" s="56"/>
      <c r="R40" s="56"/>
      <c r="S40" s="56"/>
      <c r="T40" s="56"/>
      <c r="U40" s="56"/>
      <c r="V40" s="56"/>
      <c r="W40" s="56"/>
      <c r="X40" s="56"/>
      <c r="Y40" s="56"/>
      <c r="Z40" s="56"/>
      <c r="AA40" s="56"/>
    </row>
    <row r="41" spans="1:27" ht="15.75" customHeight="1" x14ac:dyDescent="0.3">
      <c r="A41" s="60">
        <v>45717</v>
      </c>
      <c r="B41" s="33" t="str">
        <f t="shared" si="1"/>
        <v>março</v>
      </c>
      <c r="C41" s="33" t="s">
        <v>183</v>
      </c>
      <c r="D41" s="34" t="s">
        <v>63</v>
      </c>
      <c r="E41" s="61">
        <f>IFERROR(VLOOKUP(Tabela2[[#This Row],[Produto ]],'Custo Produto'!B:R,16,0)," ")</f>
        <v>0.84575135395510281</v>
      </c>
      <c r="F41" s="61">
        <f>IFERROR(Tabela2[[#This Row],[Custo Unitario]]*Tabela2[[#This Row],[Quantidade]]," ")</f>
        <v>1.6915027079102056</v>
      </c>
      <c r="G41" s="61">
        <f>IFERROR(VLOOKUP(Tabela2[[#This Row],[Produto ]],'Custo Produto'!B:R,17,0)," ")</f>
        <v>20.000166456647218</v>
      </c>
      <c r="H41" s="88">
        <v>2</v>
      </c>
      <c r="I41" s="61">
        <v>40</v>
      </c>
      <c r="J41" s="61">
        <v>40</v>
      </c>
      <c r="K41" s="62" t="str">
        <f>IF(Tabela2[[#This Row],[Valor Recebido.]]&gt;=Tabela2[[#This Row],[Valor da Venda]],"PAGO","A RECEBER")</f>
        <v>PAGO</v>
      </c>
      <c r="L41" s="56"/>
      <c r="M41" s="56"/>
      <c r="N41" s="56"/>
      <c r="O41" s="56"/>
      <c r="P41" s="56"/>
      <c r="Q41" s="56"/>
      <c r="R41" s="56"/>
      <c r="S41" s="56"/>
      <c r="T41" s="56"/>
      <c r="U41" s="56"/>
      <c r="V41" s="56"/>
      <c r="W41" s="56"/>
      <c r="X41" s="56"/>
      <c r="Y41" s="56"/>
      <c r="Z41" s="56"/>
      <c r="AA41" s="56"/>
    </row>
    <row r="42" spans="1:27" ht="15.75" customHeight="1" x14ac:dyDescent="0.3">
      <c r="A42" s="60">
        <v>45717</v>
      </c>
      <c r="B42" s="33" t="str">
        <f t="shared" si="1"/>
        <v>março</v>
      </c>
      <c r="C42" s="87" t="s">
        <v>184</v>
      </c>
      <c r="D42" s="34" t="s">
        <v>63</v>
      </c>
      <c r="E42" s="61">
        <f>IFERROR(VLOOKUP(Tabela2[[#This Row],[Produto ]],'Custo Produto'!B:R,16,0)," ")</f>
        <v>0.84575135395510281</v>
      </c>
      <c r="F42" s="61">
        <f>IFERROR(Tabela2[[#This Row],[Custo Unitario]]*Tabela2[[#This Row],[Quantidade]]," ")</f>
        <v>0.84575135395510281</v>
      </c>
      <c r="G42" s="61">
        <f>IFERROR(VLOOKUP(Tabela2[[#This Row],[Produto ]],'Custo Produto'!B:R,17,0)," ")</f>
        <v>20.000166456647218</v>
      </c>
      <c r="H42" s="88">
        <v>1</v>
      </c>
      <c r="I42" s="61">
        <v>20</v>
      </c>
      <c r="J42" s="61">
        <v>20</v>
      </c>
      <c r="K42" s="62" t="str">
        <f>IF(Tabela2[[#This Row],[Valor Recebido.]]&gt;=Tabela2[[#This Row],[Valor da Venda]],"PAGO","A RECEBER")</f>
        <v>PAGO</v>
      </c>
      <c r="L42" s="56"/>
      <c r="M42" s="56"/>
      <c r="N42" s="56"/>
      <c r="O42" s="56"/>
      <c r="P42" s="56"/>
      <c r="Q42" s="56"/>
      <c r="R42" s="56"/>
      <c r="S42" s="56"/>
      <c r="T42" s="56"/>
      <c r="U42" s="56"/>
      <c r="V42" s="56"/>
      <c r="W42" s="56"/>
      <c r="X42" s="56"/>
      <c r="Y42" s="56"/>
      <c r="Z42" s="56"/>
      <c r="AA42" s="56"/>
    </row>
    <row r="43" spans="1:27" ht="15.75" customHeight="1" x14ac:dyDescent="0.3">
      <c r="A43" s="60">
        <v>45723</v>
      </c>
      <c r="B43" s="33" t="str">
        <f t="shared" si="1"/>
        <v>março</v>
      </c>
      <c r="C43" s="33" t="s">
        <v>91</v>
      </c>
      <c r="D43" s="34" t="s">
        <v>58</v>
      </c>
      <c r="E43" s="61">
        <v>56.99</v>
      </c>
      <c r="F43" s="35">
        <f>IFERROR(Tabela2[[#This Row],[Custo Unitario]]*Tabela2[[#This Row],[Quantidade]]," ")</f>
        <v>0</v>
      </c>
      <c r="G43" s="35">
        <v>0</v>
      </c>
      <c r="H43" s="81">
        <v>0</v>
      </c>
      <c r="I43" s="35">
        <v>0</v>
      </c>
      <c r="J43" s="35">
        <v>0</v>
      </c>
      <c r="K43" s="62" t="str">
        <f>IF(Tabela2[[#This Row],[Valor Recebido.]]&gt;=Tabela2[[#This Row],[Valor da Venda]],"PAGO","A RECEBER")</f>
        <v>PAGO</v>
      </c>
      <c r="L43" s="56"/>
      <c r="M43" s="56"/>
      <c r="N43" s="56"/>
      <c r="O43" s="56"/>
      <c r="P43" s="56"/>
      <c r="Q43" s="56"/>
      <c r="R43" s="56"/>
      <c r="S43" s="56"/>
      <c r="T43" s="56"/>
      <c r="U43" s="56"/>
      <c r="V43" s="56"/>
      <c r="W43" s="56"/>
      <c r="X43" s="56"/>
      <c r="Y43" s="56"/>
      <c r="Z43" s="56"/>
      <c r="AA43" s="56"/>
    </row>
    <row r="44" spans="1:27" ht="15.75" customHeight="1" x14ac:dyDescent="0.3">
      <c r="A44" s="60">
        <v>45723</v>
      </c>
      <c r="B44" s="33" t="str">
        <f t="shared" si="1"/>
        <v>março</v>
      </c>
      <c r="C44" s="39" t="s">
        <v>91</v>
      </c>
      <c r="D44" s="34" t="s">
        <v>58</v>
      </c>
      <c r="E44" s="95">
        <v>123.25</v>
      </c>
      <c r="F44" s="41">
        <f>IFERROR(Tabela2[[#This Row],[Custo Unitario]]*Tabela2[[#This Row],[Quantidade]]," ")</f>
        <v>0</v>
      </c>
      <c r="G44" s="41">
        <v>0</v>
      </c>
      <c r="H44" s="82">
        <v>0</v>
      </c>
      <c r="I44" s="35">
        <v>0</v>
      </c>
      <c r="J44" s="35">
        <v>0</v>
      </c>
      <c r="K44" s="97" t="str">
        <f>IF(Tabela2[[#This Row],[Valor Recebido.]]&gt;=Tabela2[[#This Row],[Valor da Venda]],"PAGO","A RECEBER")</f>
        <v>PAGO</v>
      </c>
      <c r="L44" s="56"/>
      <c r="M44" s="56"/>
      <c r="N44" s="56"/>
      <c r="O44" s="56"/>
      <c r="P44" s="56"/>
      <c r="Q44" s="56"/>
      <c r="R44" s="56"/>
      <c r="S44" s="56"/>
      <c r="T44" s="56"/>
      <c r="U44" s="56"/>
      <c r="V44" s="56"/>
      <c r="W44" s="56"/>
      <c r="X44" s="56"/>
      <c r="Y44" s="56"/>
      <c r="Z44" s="56"/>
      <c r="AA44" s="56"/>
    </row>
    <row r="45" spans="1:27" ht="15.75" customHeight="1" x14ac:dyDescent="0.3">
      <c r="A45" s="32">
        <v>45724</v>
      </c>
      <c r="B45" s="33" t="str">
        <f t="shared" si="1"/>
        <v>março</v>
      </c>
      <c r="C45" s="39" t="s">
        <v>91</v>
      </c>
      <c r="D45" s="34" t="s">
        <v>58</v>
      </c>
      <c r="E45" s="35">
        <v>17.27</v>
      </c>
      <c r="F45" s="35">
        <f>IFERROR(Tabela2[[#This Row],[Custo Unitario]]*Tabela2[[#This Row],[Quantidade]]," ")</f>
        <v>0</v>
      </c>
      <c r="G45" s="35">
        <v>0</v>
      </c>
      <c r="H45" s="81">
        <v>0</v>
      </c>
      <c r="I45" s="35">
        <v>0</v>
      </c>
      <c r="J45" s="35">
        <v>0</v>
      </c>
      <c r="K45" s="36" t="str">
        <f>IF(Tabela2[[#This Row],[Valor Recebido.]]&gt;=Tabela2[[#This Row],[Valor da Venda]],"PAGO","A RECEBER")</f>
        <v>PAGO</v>
      </c>
      <c r="L45" s="56"/>
      <c r="M45" s="56"/>
      <c r="N45" s="56"/>
      <c r="O45" s="56"/>
      <c r="P45" s="56"/>
      <c r="Q45" s="56"/>
      <c r="R45" s="56"/>
      <c r="S45" s="56"/>
      <c r="T45" s="56"/>
      <c r="U45" s="56"/>
      <c r="V45" s="56"/>
      <c r="W45" s="56"/>
      <c r="X45" s="56"/>
      <c r="Y45" s="56"/>
      <c r="Z45" s="56"/>
      <c r="AA45" s="56"/>
    </row>
    <row r="46" spans="1:27" ht="15.75" customHeight="1" x14ac:dyDescent="0.3">
      <c r="A46" s="60">
        <v>45724</v>
      </c>
      <c r="B46" s="33" t="str">
        <f t="shared" si="1"/>
        <v>março</v>
      </c>
      <c r="C46" s="87" t="s">
        <v>187</v>
      </c>
      <c r="D46" s="34" t="s">
        <v>63</v>
      </c>
      <c r="E46" s="61">
        <f>IFERROR(VLOOKUP(Tabela2[[#This Row],[Produto ]],'Custo Produto'!B:R,16,0)," ")</f>
        <v>0.84575135395510281</v>
      </c>
      <c r="F46" s="61">
        <f>IFERROR(Tabela2[[#This Row],[Custo Unitario]]*Tabela2[[#This Row],[Quantidade]]," ")</f>
        <v>0.84575135395510281</v>
      </c>
      <c r="G46" s="61">
        <f>IFERROR(VLOOKUP(Tabela2[[#This Row],[Produto ]],'Custo Produto'!B:R,17,0)," ")</f>
        <v>20.000166456647218</v>
      </c>
      <c r="H46" s="88">
        <v>1</v>
      </c>
      <c r="I46" s="61">
        <v>20</v>
      </c>
      <c r="J46" s="61">
        <v>20</v>
      </c>
      <c r="K46" s="62" t="str">
        <f>IF(Tabela2[[#This Row],[Valor Recebido.]]&gt;=Tabela2[[#This Row],[Valor da Venda]],"PAGO","A RECEBER")</f>
        <v>PAGO</v>
      </c>
      <c r="L46" s="56"/>
      <c r="M46" s="56"/>
      <c r="N46" s="56"/>
      <c r="O46" s="56"/>
      <c r="P46" s="56"/>
      <c r="Q46" s="56"/>
      <c r="R46" s="56"/>
      <c r="S46" s="56"/>
      <c r="T46" s="56"/>
      <c r="U46" s="56"/>
      <c r="V46" s="56"/>
      <c r="W46" s="56"/>
      <c r="X46" s="56"/>
      <c r="Y46" s="56"/>
      <c r="Z46" s="56"/>
      <c r="AA46" s="56"/>
    </row>
    <row r="47" spans="1:27" ht="15.75" customHeight="1" x14ac:dyDescent="0.3">
      <c r="A47" s="60">
        <v>45724</v>
      </c>
      <c r="B47" s="33" t="str">
        <f t="shared" si="1"/>
        <v>março</v>
      </c>
      <c r="C47" s="87" t="s">
        <v>187</v>
      </c>
      <c r="D47" s="93" t="s">
        <v>194</v>
      </c>
      <c r="E47" s="61">
        <v>5</v>
      </c>
      <c r="F47" s="61">
        <v>0</v>
      </c>
      <c r="G47" s="61">
        <v>0</v>
      </c>
      <c r="H47" s="88">
        <v>0</v>
      </c>
      <c r="I47" s="61">
        <v>5</v>
      </c>
      <c r="J47" s="61">
        <v>5</v>
      </c>
      <c r="K47" s="62" t="str">
        <f>IF(Tabela2[[#This Row],[Valor Recebido.]]&gt;=Tabela2[[#This Row],[Valor da Venda]],"PAGO","A RECEBER")</f>
        <v>PAGO</v>
      </c>
      <c r="L47" s="56"/>
      <c r="M47" s="56"/>
      <c r="N47" s="56"/>
      <c r="O47" s="56"/>
      <c r="P47" s="56"/>
      <c r="Q47" s="56"/>
      <c r="R47" s="56"/>
      <c r="S47" s="56"/>
      <c r="T47" s="56"/>
      <c r="U47" s="56"/>
      <c r="V47" s="56"/>
      <c r="W47" s="56"/>
      <c r="X47" s="56"/>
      <c r="Y47" s="56"/>
      <c r="Z47" s="56"/>
      <c r="AA47" s="56"/>
    </row>
    <row r="48" spans="1:27" ht="15.75" customHeight="1" x14ac:dyDescent="0.3">
      <c r="A48" s="60">
        <v>45724</v>
      </c>
      <c r="B48" s="33" t="str">
        <f t="shared" si="1"/>
        <v>março</v>
      </c>
      <c r="C48" s="94" t="s">
        <v>188</v>
      </c>
      <c r="D48" s="34" t="s">
        <v>63</v>
      </c>
      <c r="E48" s="61">
        <f>IFERROR(VLOOKUP(Tabela2[[#This Row],[Produto ]],'Custo Produto'!B:R,16,0)," ")</f>
        <v>0.84575135395510281</v>
      </c>
      <c r="F48" s="61">
        <f>IFERROR(Tabela2[[#This Row],[Custo Unitario]]*Tabela2[[#This Row],[Quantidade]]," ")</f>
        <v>0.84575135395510281</v>
      </c>
      <c r="G48" s="61">
        <f>IFERROR(VLOOKUP(Tabela2[[#This Row],[Produto ]],'Custo Produto'!B:R,17,0)," ")</f>
        <v>20.000166456647218</v>
      </c>
      <c r="H48" s="88">
        <v>1</v>
      </c>
      <c r="I48" s="61">
        <v>20</v>
      </c>
      <c r="J48" s="61">
        <v>20</v>
      </c>
      <c r="K48" s="62" t="str">
        <f>IF(Tabela2[[#This Row],[Valor Recebido.]]&gt;=Tabela2[[#This Row],[Valor da Venda]],"PAGO","A RECEBER")</f>
        <v>PAGO</v>
      </c>
      <c r="L48" s="56"/>
      <c r="M48" s="56"/>
      <c r="N48" s="56"/>
      <c r="O48" s="56"/>
      <c r="P48" s="56"/>
      <c r="Q48" s="56"/>
      <c r="R48" s="56"/>
      <c r="S48" s="56"/>
      <c r="T48" s="56"/>
      <c r="U48" s="56"/>
      <c r="V48" s="56"/>
      <c r="W48" s="56"/>
      <c r="X48" s="56"/>
      <c r="Y48" s="56"/>
      <c r="Z48" s="56"/>
      <c r="AA48" s="56"/>
    </row>
    <row r="49" spans="1:27" ht="15.75" customHeight="1" x14ac:dyDescent="0.3">
      <c r="A49" s="60">
        <v>45724</v>
      </c>
      <c r="B49" s="33" t="str">
        <f t="shared" si="1"/>
        <v>março</v>
      </c>
      <c r="C49" s="94" t="s">
        <v>111</v>
      </c>
      <c r="D49" s="34" t="s">
        <v>63</v>
      </c>
      <c r="E49" s="95">
        <f>IFERROR(VLOOKUP(Tabela2[[#This Row],[Produto ]],'Custo Produto'!B:R,16,0)," ")</f>
        <v>0.84575135395510281</v>
      </c>
      <c r="F49" s="95">
        <f>IFERROR(Tabela2[[#This Row],[Custo Unitario]]*Tabela2[[#This Row],[Quantidade]]," ")</f>
        <v>0.84575135395510281</v>
      </c>
      <c r="G49" s="95">
        <f>IFERROR(VLOOKUP(Tabela2[[#This Row],[Produto ]],'Custo Produto'!B:R,17,0)," ")</f>
        <v>20.000166456647218</v>
      </c>
      <c r="H49" s="96">
        <v>1</v>
      </c>
      <c r="I49" s="95">
        <v>20</v>
      </c>
      <c r="J49" s="95">
        <v>20</v>
      </c>
      <c r="K49" s="97" t="str">
        <f>IF(Tabela2[[#This Row],[Valor Recebido.]]&gt;=Tabela2[[#This Row],[Valor da Venda]],"PAGO","A RECEBER")</f>
        <v>PAGO</v>
      </c>
      <c r="L49" s="56"/>
      <c r="M49" s="56"/>
      <c r="N49" s="56"/>
      <c r="O49" s="56"/>
      <c r="P49" s="56"/>
      <c r="Q49" s="56"/>
      <c r="R49" s="56"/>
      <c r="S49" s="56"/>
      <c r="T49" s="56"/>
      <c r="U49" s="56"/>
      <c r="V49" s="56"/>
      <c r="W49" s="56"/>
      <c r="X49" s="56"/>
      <c r="Y49" s="56"/>
      <c r="Z49" s="56"/>
      <c r="AA49" s="56"/>
    </row>
    <row r="50" spans="1:27" ht="15.75" customHeight="1" x14ac:dyDescent="0.3">
      <c r="A50" s="60">
        <v>45724</v>
      </c>
      <c r="B50" s="33" t="str">
        <f t="shared" si="1"/>
        <v>março</v>
      </c>
      <c r="C50" s="87" t="s">
        <v>189</v>
      </c>
      <c r="D50" s="34" t="s">
        <v>63</v>
      </c>
      <c r="E50" s="61">
        <f>IFERROR(VLOOKUP(Tabela2[[#This Row],[Produto ]],'Custo Produto'!B:R,16,0)," ")</f>
        <v>0.84575135395510281</v>
      </c>
      <c r="F50" s="61">
        <f>IFERROR(Tabela2[[#This Row],[Custo Unitario]]*Tabela2[[#This Row],[Quantidade]]," ")</f>
        <v>0.84575135395510281</v>
      </c>
      <c r="G50" s="61">
        <f>IFERROR(VLOOKUP(Tabela2[[#This Row],[Produto ]],'Custo Produto'!B:R,17,0)," ")</f>
        <v>20.000166456647218</v>
      </c>
      <c r="H50" s="88">
        <v>1</v>
      </c>
      <c r="I50" s="61">
        <v>20</v>
      </c>
      <c r="J50" s="61">
        <v>20</v>
      </c>
      <c r="K50" s="62" t="str">
        <f>IF(Tabela2[[#This Row],[Valor Recebido.]]&gt;=Tabela2[[#This Row],[Valor da Venda]],"PAGO","A RECEBER")</f>
        <v>PAGO</v>
      </c>
      <c r="L50" s="56"/>
      <c r="M50" s="56"/>
      <c r="N50" s="56"/>
      <c r="O50" s="56"/>
      <c r="P50" s="56"/>
      <c r="Q50" s="56"/>
      <c r="R50" s="56"/>
      <c r="S50" s="56"/>
      <c r="T50" s="56"/>
      <c r="U50" s="56"/>
      <c r="V50" s="56"/>
      <c r="W50" s="56"/>
      <c r="X50" s="56"/>
      <c r="Y50" s="56"/>
      <c r="Z50" s="56"/>
      <c r="AA50" s="56"/>
    </row>
    <row r="51" spans="1:27" ht="15.75" customHeight="1" x14ac:dyDescent="0.3">
      <c r="A51" s="60">
        <v>45724</v>
      </c>
      <c r="B51" s="33" t="str">
        <f t="shared" si="1"/>
        <v>março</v>
      </c>
      <c r="C51" s="87" t="s">
        <v>189</v>
      </c>
      <c r="D51" s="93" t="s">
        <v>194</v>
      </c>
      <c r="E51" s="61">
        <v>10</v>
      </c>
      <c r="F51" s="61">
        <v>0</v>
      </c>
      <c r="G51" s="61">
        <v>0</v>
      </c>
      <c r="H51" s="88">
        <v>0</v>
      </c>
      <c r="I51" s="61">
        <v>10</v>
      </c>
      <c r="J51" s="61">
        <v>10</v>
      </c>
      <c r="K51" s="62" t="str">
        <f>IF(Tabela2[[#This Row],[Valor Recebido.]]&gt;=Tabela2[[#This Row],[Valor da Venda]],"PAGO","A RECEBER")</f>
        <v>PAGO</v>
      </c>
      <c r="L51" s="56"/>
      <c r="M51" s="56"/>
      <c r="N51" s="56"/>
      <c r="O51" s="56"/>
      <c r="P51" s="56"/>
      <c r="Q51" s="56"/>
      <c r="R51" s="56"/>
      <c r="S51" s="56"/>
      <c r="T51" s="56"/>
      <c r="U51" s="56"/>
      <c r="V51" s="56"/>
      <c r="W51" s="56"/>
      <c r="X51" s="56"/>
      <c r="Y51" s="56"/>
      <c r="Z51" s="56"/>
      <c r="AA51" s="56"/>
    </row>
    <row r="52" spans="1:27" ht="15.75" customHeight="1" x14ac:dyDescent="0.3">
      <c r="A52" s="60">
        <v>45724</v>
      </c>
      <c r="B52" s="33" t="str">
        <f t="shared" si="1"/>
        <v>março</v>
      </c>
      <c r="C52" s="87" t="s">
        <v>190</v>
      </c>
      <c r="D52" s="34" t="s">
        <v>63</v>
      </c>
      <c r="E52" s="61">
        <f>IFERROR(VLOOKUP(Tabela2[[#This Row],[Produto ]],'Custo Produto'!B:R,16,0)," ")</f>
        <v>0.84575135395510281</v>
      </c>
      <c r="F52" s="61">
        <f>IFERROR(Tabela2[[#This Row],[Custo Unitario]]*Tabela2[[#This Row],[Quantidade]]," ")</f>
        <v>0.84575135395510281</v>
      </c>
      <c r="G52" s="61">
        <f>IFERROR(VLOOKUP(Tabela2[[#This Row],[Produto ]],'Custo Produto'!B:R,17,0)," ")</f>
        <v>20.000166456647218</v>
      </c>
      <c r="H52" s="88">
        <v>1</v>
      </c>
      <c r="I52" s="61">
        <v>20</v>
      </c>
      <c r="J52" s="61">
        <v>20</v>
      </c>
      <c r="K52" s="62" t="str">
        <f>IF(Tabela2[[#This Row],[Valor Recebido.]]&gt;=Tabela2[[#This Row],[Valor da Venda]],"PAGO","A RECEBER")</f>
        <v>PAGO</v>
      </c>
      <c r="L52" s="56"/>
      <c r="M52" s="56"/>
      <c r="N52" s="56"/>
      <c r="O52" s="56"/>
      <c r="P52" s="56"/>
      <c r="Q52" s="56"/>
      <c r="R52" s="56"/>
      <c r="S52" s="56"/>
      <c r="T52" s="56"/>
      <c r="U52" s="56"/>
      <c r="V52" s="56"/>
      <c r="W52" s="56"/>
      <c r="X52" s="56"/>
      <c r="Y52" s="56"/>
      <c r="Z52" s="56"/>
      <c r="AA52" s="56"/>
    </row>
    <row r="53" spans="1:27" ht="15.75" customHeight="1" x14ac:dyDescent="0.3">
      <c r="A53" s="60">
        <v>45724</v>
      </c>
      <c r="B53" s="33" t="str">
        <f t="shared" si="1"/>
        <v>março</v>
      </c>
      <c r="C53" s="87" t="s">
        <v>191</v>
      </c>
      <c r="D53" s="34" t="s">
        <v>63</v>
      </c>
      <c r="E53" s="61">
        <f>IFERROR(VLOOKUP(Tabela2[[#This Row],[Produto ]],'Custo Produto'!B:R,16,0)," ")</f>
        <v>0.84575135395510281</v>
      </c>
      <c r="F53" s="61">
        <f>IFERROR(Tabela2[[#This Row],[Custo Unitario]]*Tabela2[[#This Row],[Quantidade]]," ")</f>
        <v>0.84575135395510281</v>
      </c>
      <c r="G53" s="61">
        <f>IFERROR(VLOOKUP(Tabela2[[#This Row],[Produto ]],'Custo Produto'!B:R,17,0)," ")</f>
        <v>20.000166456647218</v>
      </c>
      <c r="H53" s="88">
        <v>1</v>
      </c>
      <c r="I53" s="61">
        <v>20</v>
      </c>
      <c r="J53" s="61">
        <v>20</v>
      </c>
      <c r="K53" s="62" t="str">
        <f>IF(Tabela2[[#This Row],[Valor Recebido.]]&gt;=Tabela2[[#This Row],[Valor da Venda]],"PAGO","A RECEBER")</f>
        <v>PAGO</v>
      </c>
      <c r="L53" s="56"/>
      <c r="M53" s="56"/>
      <c r="N53" s="56"/>
      <c r="O53" s="56"/>
      <c r="P53" s="56"/>
      <c r="Q53" s="56"/>
      <c r="R53" s="56"/>
      <c r="S53" s="56"/>
      <c r="T53" s="56"/>
      <c r="U53" s="56"/>
      <c r="V53" s="56"/>
      <c r="W53" s="56"/>
      <c r="X53" s="56"/>
      <c r="Y53" s="56"/>
      <c r="Z53" s="56"/>
      <c r="AA53" s="56"/>
    </row>
    <row r="54" spans="1:27" ht="15.75" customHeight="1" x14ac:dyDescent="0.3">
      <c r="A54" s="60">
        <v>45724</v>
      </c>
      <c r="B54" s="33" t="str">
        <f t="shared" si="1"/>
        <v>março</v>
      </c>
      <c r="C54" s="87" t="s">
        <v>192</v>
      </c>
      <c r="D54" s="34" t="s">
        <v>63</v>
      </c>
      <c r="E54" s="61">
        <f>IFERROR(VLOOKUP(Tabela2[[#This Row],[Produto ]],'Custo Produto'!B:R,16,0)," ")</f>
        <v>0.84575135395510281</v>
      </c>
      <c r="F54" s="61">
        <f>IFERROR(Tabela2[[#This Row],[Custo Unitario]]*Tabela2[[#This Row],[Quantidade]]," ")</f>
        <v>0.84575135395510281</v>
      </c>
      <c r="G54" s="61">
        <f>IFERROR(VLOOKUP(Tabela2[[#This Row],[Produto ]],'Custo Produto'!B:R,17,0)," ")</f>
        <v>20.000166456647218</v>
      </c>
      <c r="H54" s="88">
        <v>1</v>
      </c>
      <c r="I54" s="61">
        <v>20</v>
      </c>
      <c r="J54" s="61">
        <v>20</v>
      </c>
      <c r="K54" s="62" t="str">
        <f>IF(Tabela2[[#This Row],[Valor Recebido.]]&gt;=Tabela2[[#This Row],[Valor da Venda]],"PAGO","A RECEBER")</f>
        <v>PAGO</v>
      </c>
      <c r="L54" s="56"/>
      <c r="M54" s="56"/>
      <c r="N54" s="56"/>
      <c r="O54" s="56"/>
      <c r="P54" s="56"/>
      <c r="Q54" s="56"/>
      <c r="R54" s="56"/>
      <c r="S54" s="56"/>
      <c r="T54" s="56"/>
      <c r="U54" s="56"/>
      <c r="V54" s="56"/>
      <c r="W54" s="56"/>
      <c r="X54" s="56"/>
      <c r="Y54" s="56"/>
      <c r="Z54" s="56"/>
      <c r="AA54" s="56"/>
    </row>
    <row r="55" spans="1:27" ht="15.75" customHeight="1" x14ac:dyDescent="0.3">
      <c r="A55" s="60">
        <v>45724</v>
      </c>
      <c r="B55" s="33" t="str">
        <f t="shared" si="1"/>
        <v>março</v>
      </c>
      <c r="C55" s="87" t="s">
        <v>193</v>
      </c>
      <c r="D55" s="34" t="s">
        <v>63</v>
      </c>
      <c r="E55" s="61">
        <f>IFERROR(VLOOKUP(Tabela2[[#This Row],[Produto ]],'Custo Produto'!B:R,16,0)," ")</f>
        <v>0.84575135395510281</v>
      </c>
      <c r="F55" s="61">
        <f>IFERROR(Tabela2[[#This Row],[Custo Unitario]]*Tabela2[[#This Row],[Quantidade]]," ")</f>
        <v>1.6915027079102056</v>
      </c>
      <c r="G55" s="61">
        <f>IFERROR(VLOOKUP(Tabela2[[#This Row],[Produto ]],'Custo Produto'!B:R,17,0)," ")</f>
        <v>20.000166456647218</v>
      </c>
      <c r="H55" s="88">
        <v>2</v>
      </c>
      <c r="I55" s="61">
        <v>40</v>
      </c>
      <c r="J55" s="61">
        <v>40</v>
      </c>
      <c r="K55" s="62" t="str">
        <f>IF(Tabela2[[#This Row],[Valor Recebido.]]&gt;=Tabela2[[#This Row],[Valor da Venda]],"PAGO","A RECEBER")</f>
        <v>PAGO</v>
      </c>
      <c r="L55" s="56"/>
      <c r="M55" s="56"/>
      <c r="N55" s="56"/>
      <c r="O55" s="56"/>
      <c r="P55" s="56"/>
      <c r="Q55" s="56"/>
      <c r="R55" s="56"/>
      <c r="S55" s="56"/>
      <c r="T55" s="56"/>
      <c r="U55" s="56"/>
      <c r="V55" s="56"/>
      <c r="W55" s="56"/>
      <c r="X55" s="56"/>
      <c r="Y55" s="56"/>
      <c r="Z55" s="56"/>
      <c r="AA55" s="56"/>
    </row>
    <row r="56" spans="1:27" ht="15.75" customHeight="1" x14ac:dyDescent="0.3">
      <c r="A56" s="60">
        <v>45724</v>
      </c>
      <c r="B56" s="33" t="str">
        <f t="shared" si="1"/>
        <v>março</v>
      </c>
      <c r="C56" s="87" t="s">
        <v>93</v>
      </c>
      <c r="D56" s="34" t="s">
        <v>63</v>
      </c>
      <c r="E56" s="61">
        <f>IFERROR(VLOOKUP(Tabela2[[#This Row],[Produto ]],'Custo Produto'!B:R,16,0)," ")</f>
        <v>0.84575135395510281</v>
      </c>
      <c r="F56" s="61">
        <f>IFERROR(Tabela2[[#This Row],[Custo Unitario]]*Tabela2[[#This Row],[Quantidade]]," ")</f>
        <v>0.84575135395510281</v>
      </c>
      <c r="G56" s="61">
        <f>IFERROR(VLOOKUP(Tabela2[[#This Row],[Produto ]],'Custo Produto'!B:R,17,0)," ")</f>
        <v>20.000166456647218</v>
      </c>
      <c r="H56" s="88">
        <v>1</v>
      </c>
      <c r="I56" s="61">
        <v>20</v>
      </c>
      <c r="J56" s="61">
        <v>20</v>
      </c>
      <c r="K56" s="62" t="str">
        <f>IF(Tabela2[[#This Row],[Valor Recebido.]]&gt;=Tabela2[[#This Row],[Valor da Venda]],"PAGO","A RECEBER")</f>
        <v>PAGO</v>
      </c>
      <c r="L56" s="56"/>
      <c r="M56" s="56"/>
      <c r="N56" s="56"/>
      <c r="O56" s="56"/>
      <c r="P56" s="56"/>
      <c r="Q56" s="56"/>
      <c r="R56" s="56"/>
      <c r="S56" s="56"/>
      <c r="T56" s="56"/>
      <c r="U56" s="56"/>
      <c r="V56" s="56"/>
      <c r="W56" s="56"/>
      <c r="X56" s="56"/>
      <c r="Y56" s="56"/>
      <c r="Z56" s="56"/>
      <c r="AA56" s="56"/>
    </row>
    <row r="57" spans="1:27" ht="15.75" customHeight="1" x14ac:dyDescent="0.3">
      <c r="A57" s="60">
        <v>45725</v>
      </c>
      <c r="B57" s="33" t="str">
        <f t="shared" si="1"/>
        <v>março</v>
      </c>
      <c r="C57" s="87" t="s">
        <v>201</v>
      </c>
      <c r="D57" s="34" t="s">
        <v>63</v>
      </c>
      <c r="E57" s="61">
        <f>IFERROR(VLOOKUP(Tabela2[[#This Row],[Produto ]],'Custo Produto'!B:R,16,0)," ")</f>
        <v>0.84575135395510281</v>
      </c>
      <c r="F57" s="61">
        <f>IFERROR(Tabela2[[#This Row],[Custo Unitario]]*Tabela2[[#This Row],[Quantidade]]," ")</f>
        <v>0.84575135395510281</v>
      </c>
      <c r="G57" s="61">
        <f>IFERROR(VLOOKUP(Tabela2[[#This Row],[Produto ]],'Custo Produto'!B:R,17,0)," ")</f>
        <v>20.000166456647218</v>
      </c>
      <c r="H57" s="88">
        <v>1</v>
      </c>
      <c r="I57" s="61">
        <v>20</v>
      </c>
      <c r="J57" s="61">
        <v>20</v>
      </c>
      <c r="K57" s="62" t="str">
        <f>IF(Tabela2[[#This Row],[Valor Recebido.]]&gt;=Tabela2[[#This Row],[Valor da Venda]],"PAGO","A RECEBER")</f>
        <v>PAGO</v>
      </c>
      <c r="L57" s="56"/>
      <c r="M57" s="56"/>
      <c r="N57" s="56"/>
      <c r="O57" s="56"/>
      <c r="P57" s="56"/>
      <c r="Q57" s="56"/>
      <c r="R57" s="56"/>
      <c r="S57" s="56"/>
      <c r="T57" s="56"/>
      <c r="U57" s="56"/>
      <c r="V57" s="56"/>
      <c r="W57" s="56"/>
      <c r="X57" s="56"/>
      <c r="Y57" s="56"/>
      <c r="Z57" s="56"/>
      <c r="AA57" s="56"/>
    </row>
    <row r="58" spans="1:27" ht="15.75" customHeight="1" x14ac:dyDescent="0.3">
      <c r="A58" s="60">
        <v>45725</v>
      </c>
      <c r="B58" s="33" t="str">
        <f t="shared" si="1"/>
        <v>março</v>
      </c>
      <c r="C58" s="94" t="s">
        <v>201</v>
      </c>
      <c r="D58" s="93" t="s">
        <v>194</v>
      </c>
      <c r="E58" s="95">
        <v>10</v>
      </c>
      <c r="F58" s="95">
        <f>IFERROR(Tabela2[[#This Row],[Custo Unitario]]*Tabela2[[#This Row],[Quantidade]]," ")</f>
        <v>0</v>
      </c>
      <c r="G58" s="95">
        <v>0</v>
      </c>
      <c r="H58" s="96">
        <v>0</v>
      </c>
      <c r="I58" s="95">
        <v>10</v>
      </c>
      <c r="J58" s="95">
        <v>10</v>
      </c>
      <c r="K58" s="97" t="str">
        <f>IF(Tabela2[[#This Row],[Valor Recebido.]]&gt;=Tabela2[[#This Row],[Valor da Venda]],"PAGO","A RECEBER")</f>
        <v>PAGO</v>
      </c>
      <c r="L58" s="56"/>
      <c r="M58" s="56"/>
      <c r="N58" s="56"/>
      <c r="O58" s="56"/>
      <c r="P58" s="56"/>
      <c r="Q58" s="56"/>
      <c r="R58" s="56"/>
      <c r="S58" s="56"/>
      <c r="T58" s="56"/>
      <c r="U58" s="56"/>
      <c r="V58" s="56"/>
      <c r="W58" s="56"/>
      <c r="X58" s="56"/>
      <c r="Y58" s="56"/>
      <c r="Z58" s="56"/>
      <c r="AA58" s="56"/>
    </row>
    <row r="59" spans="1:27" ht="15.75" customHeight="1" x14ac:dyDescent="0.3">
      <c r="A59" s="32">
        <v>45728</v>
      </c>
      <c r="B59" s="33" t="str">
        <f t="shared" si="1"/>
        <v>março</v>
      </c>
      <c r="C59" s="33" t="s">
        <v>91</v>
      </c>
      <c r="D59" s="34" t="s">
        <v>58</v>
      </c>
      <c r="E59" s="35">
        <v>332.18</v>
      </c>
      <c r="F59" s="35">
        <f>IFERROR(Tabela2[[#This Row],[Custo Unitario]]*Tabela2[[#This Row],[Quantidade]]," ")</f>
        <v>0</v>
      </c>
      <c r="G59" s="35">
        <v>0</v>
      </c>
      <c r="H59" s="81">
        <v>0</v>
      </c>
      <c r="I59" s="35">
        <v>0</v>
      </c>
      <c r="J59" s="35">
        <v>0</v>
      </c>
      <c r="K59" s="36" t="str">
        <f>IF(Tabela2[[#This Row],[Valor Recebido.]]&gt;=Tabela2[[#This Row],[Valor da Venda]],"PAGO","A RECEBER")</f>
        <v>PAGO</v>
      </c>
      <c r="L59" s="56"/>
      <c r="M59" s="56"/>
      <c r="N59" s="56"/>
      <c r="O59" s="56"/>
      <c r="P59" s="56"/>
      <c r="Q59" s="56"/>
      <c r="R59" s="56"/>
      <c r="S59" s="56"/>
      <c r="T59" s="56"/>
      <c r="U59" s="56"/>
      <c r="V59" s="56"/>
      <c r="W59" s="56"/>
      <c r="X59" s="56"/>
      <c r="Y59" s="56"/>
      <c r="Z59" s="56"/>
      <c r="AA59" s="56"/>
    </row>
    <row r="60" spans="1:27" ht="15.75" customHeight="1" x14ac:dyDescent="0.3">
      <c r="A60" s="60">
        <v>45730</v>
      </c>
      <c r="B60" s="87" t="str">
        <f t="shared" si="1"/>
        <v>março</v>
      </c>
      <c r="C60" s="39" t="s">
        <v>91</v>
      </c>
      <c r="D60" s="34" t="s">
        <v>58</v>
      </c>
      <c r="E60" s="95">
        <v>22.5</v>
      </c>
      <c r="F60" s="95">
        <f>IFERROR(Tabela2[[#This Row],[Custo Unitario]]*Tabela2[[#This Row],[Quantidade]]," ")</f>
        <v>0</v>
      </c>
      <c r="G60" s="95">
        <v>0</v>
      </c>
      <c r="H60" s="96">
        <v>0</v>
      </c>
      <c r="I60" s="95">
        <v>0</v>
      </c>
      <c r="J60" s="95">
        <v>0</v>
      </c>
      <c r="K60" s="97" t="str">
        <f>IF(Tabela2[[#This Row],[Valor Recebido.]]&gt;=Tabela2[[#This Row],[Valor da Venda]],"PAGO","A RECEBER")</f>
        <v>PAGO</v>
      </c>
      <c r="L60" s="56"/>
      <c r="M60" s="56"/>
      <c r="N60" s="56"/>
      <c r="O60" s="56"/>
      <c r="P60" s="56"/>
      <c r="Q60" s="56"/>
      <c r="R60" s="56"/>
      <c r="S60" s="56"/>
      <c r="T60" s="56"/>
      <c r="U60" s="56"/>
      <c r="V60" s="56"/>
      <c r="W60" s="56"/>
      <c r="X60" s="56"/>
      <c r="Y60" s="56"/>
      <c r="Z60" s="56"/>
      <c r="AA60" s="56"/>
    </row>
    <row r="61" spans="1:27" ht="15.75" customHeight="1" x14ac:dyDescent="0.3">
      <c r="A61" s="60">
        <v>45731</v>
      </c>
      <c r="B61" s="94" t="str">
        <f t="shared" si="1"/>
        <v>março</v>
      </c>
      <c r="C61" s="87" t="s">
        <v>94</v>
      </c>
      <c r="D61" s="34" t="s">
        <v>63</v>
      </c>
      <c r="E61" s="61">
        <f>IFERROR(VLOOKUP(Tabela2[[#This Row],[Produto ]],'Custo Produto'!B:R,16,0)," ")</f>
        <v>0.84575135395510281</v>
      </c>
      <c r="F61" s="95">
        <f>IFERROR(Tabela2[[#This Row],[Custo Unitario]]*Tabela2[[#This Row],[Quantidade]]," ")</f>
        <v>0.84575135395510281</v>
      </c>
      <c r="G61" s="95">
        <f>IFERROR(VLOOKUP(Tabela2[[#This Row],[Produto ]],'Custo Produto'!B:R,17,0)," ")</f>
        <v>20.000166456647218</v>
      </c>
      <c r="H61" s="96">
        <v>1</v>
      </c>
      <c r="I61" s="95">
        <v>20</v>
      </c>
      <c r="J61" s="95">
        <v>20</v>
      </c>
      <c r="K61" s="62" t="str">
        <f>IF(Tabela2[[#This Row],[Valor Recebido.]]&gt;=Tabela2[[#This Row],[Valor da Venda]],"PAGO","A RECEBER")</f>
        <v>PAGO</v>
      </c>
      <c r="L61" s="56"/>
      <c r="M61" s="56"/>
      <c r="N61" s="56"/>
      <c r="O61" s="56"/>
      <c r="P61" s="56"/>
      <c r="Q61" s="56"/>
      <c r="R61" s="56"/>
      <c r="S61" s="56"/>
      <c r="T61" s="56"/>
      <c r="U61" s="56"/>
      <c r="V61" s="56"/>
      <c r="W61" s="56"/>
      <c r="X61" s="56"/>
      <c r="Y61" s="56"/>
      <c r="Z61" s="56"/>
      <c r="AA61" s="56"/>
    </row>
    <row r="62" spans="1:27" ht="15.75" customHeight="1" x14ac:dyDescent="0.3">
      <c r="A62" s="98">
        <v>45731</v>
      </c>
      <c r="B62" s="87" t="str">
        <f t="shared" si="1"/>
        <v>março</v>
      </c>
      <c r="C62" s="94" t="s">
        <v>221</v>
      </c>
      <c r="D62" s="34" t="s">
        <v>63</v>
      </c>
      <c r="E62" s="95">
        <f>IFERROR(VLOOKUP(Tabela2[[#This Row],[Produto ]],'Custo Produto'!B:R,16,0)," ")</f>
        <v>0.84575135395510281</v>
      </c>
      <c r="F62" s="95">
        <f>IFERROR(Tabela2[[#This Row],[Custo Unitario]]*Tabela2[[#This Row],[Quantidade]]," ")</f>
        <v>3.3830054158204113</v>
      </c>
      <c r="G62" s="95">
        <f>IFERROR(VLOOKUP(Tabela2[[#This Row],[Produto ]],'Custo Produto'!B:R,17,0)," ")</f>
        <v>20.000166456647218</v>
      </c>
      <c r="H62" s="96">
        <v>4</v>
      </c>
      <c r="I62" s="95">
        <v>80</v>
      </c>
      <c r="J62" s="95">
        <v>80</v>
      </c>
      <c r="K62" s="97" t="str">
        <f>IF(Tabela2[[#This Row],[Valor Recebido.]]&gt;=Tabela2[[#This Row],[Valor da Venda]],"PAGO","A RECEBER")</f>
        <v>PAGO</v>
      </c>
      <c r="L62" s="56"/>
      <c r="M62" s="56"/>
      <c r="N62" s="56"/>
      <c r="O62" s="56"/>
      <c r="P62" s="56"/>
      <c r="Q62" s="56"/>
      <c r="R62" s="56"/>
      <c r="S62" s="56"/>
      <c r="T62" s="56"/>
      <c r="U62" s="56"/>
      <c r="V62" s="56"/>
      <c r="W62" s="56"/>
      <c r="X62" s="56"/>
      <c r="Y62" s="56"/>
      <c r="Z62" s="56"/>
      <c r="AA62" s="56"/>
    </row>
    <row r="63" spans="1:27" ht="15.75" customHeight="1" x14ac:dyDescent="0.3">
      <c r="A63" s="98">
        <v>45731</v>
      </c>
      <c r="B63" s="87" t="str">
        <f t="shared" si="1"/>
        <v>março</v>
      </c>
      <c r="C63" s="39" t="s">
        <v>112</v>
      </c>
      <c r="D63" s="40" t="s">
        <v>63</v>
      </c>
      <c r="E63" s="95">
        <f>IFERROR(VLOOKUP(Tabela2[[#This Row],[Produto ]],'Custo Produto'!B:R,16,0)," ")</f>
        <v>0.84575135395510281</v>
      </c>
      <c r="F63" s="95">
        <f>IFERROR(Tabela2[[#This Row],[Custo Unitario]]*Tabela2[[#This Row],[Quantidade]]," ")</f>
        <v>1.6915027079102056</v>
      </c>
      <c r="G63" s="95">
        <f>IFERROR(VLOOKUP(Tabela2[[#This Row],[Produto ]],'Custo Produto'!B:R,17,0)," ")</f>
        <v>20.000166456647218</v>
      </c>
      <c r="H63" s="96">
        <v>2</v>
      </c>
      <c r="I63" s="95">
        <v>40</v>
      </c>
      <c r="J63" s="95">
        <v>40</v>
      </c>
      <c r="K63" s="97" t="str">
        <f>IF(Tabela2[[#This Row],[Valor Recebido.]]&gt;=Tabela2[[#This Row],[Valor da Venda]],"PAGO","A RECEBER")</f>
        <v>PAGO</v>
      </c>
      <c r="L63" s="56"/>
      <c r="M63" s="56"/>
      <c r="N63" s="56"/>
      <c r="O63" s="56"/>
      <c r="P63" s="56"/>
      <c r="Q63" s="56"/>
      <c r="R63" s="56"/>
      <c r="S63" s="56"/>
      <c r="T63" s="56"/>
      <c r="U63" s="56"/>
      <c r="V63" s="56"/>
      <c r="W63" s="56"/>
      <c r="X63" s="56"/>
      <c r="Y63" s="56"/>
      <c r="Z63" s="56"/>
      <c r="AA63" s="56"/>
    </row>
    <row r="64" spans="1:27" ht="15.75" customHeight="1" x14ac:dyDescent="0.3">
      <c r="A64" s="60">
        <v>45731</v>
      </c>
      <c r="B64" s="94" t="str">
        <f t="shared" si="1"/>
        <v>março</v>
      </c>
      <c r="C64" s="87" t="s">
        <v>222</v>
      </c>
      <c r="D64" s="34" t="s">
        <v>63</v>
      </c>
      <c r="E64" s="61">
        <f>IFERROR(VLOOKUP(Tabela2[[#This Row],[Produto ]],'Custo Produto'!B:R,16,0)," ")</f>
        <v>0.84575135395510281</v>
      </c>
      <c r="F64" s="61">
        <f>IFERROR(Tabela2[[#This Row],[Custo Unitario]]*Tabela2[[#This Row],[Quantidade]]," ")</f>
        <v>1.6915027079102056</v>
      </c>
      <c r="G64" s="61">
        <f>IFERROR(VLOOKUP(Tabela2[[#This Row],[Produto ]],'Custo Produto'!B:R,17,0)," ")</f>
        <v>20.000166456647218</v>
      </c>
      <c r="H64" s="88">
        <v>2</v>
      </c>
      <c r="I64" s="61">
        <v>40</v>
      </c>
      <c r="J64" s="61">
        <v>40</v>
      </c>
      <c r="K64" s="62" t="str">
        <f>IF(Tabela2[[#This Row],[Valor Recebido.]]&gt;=Tabela2[[#This Row],[Valor da Venda]],"PAGO","A RECEBER")</f>
        <v>PAGO</v>
      </c>
      <c r="L64" s="56"/>
      <c r="M64" s="56"/>
      <c r="N64" s="56"/>
      <c r="O64" s="56"/>
      <c r="P64" s="56"/>
      <c r="Q64" s="56"/>
      <c r="R64" s="56"/>
      <c r="S64" s="56"/>
      <c r="T64" s="56"/>
      <c r="U64" s="56"/>
      <c r="V64" s="56"/>
      <c r="W64" s="56"/>
      <c r="X64" s="56"/>
      <c r="Y64" s="56"/>
      <c r="Z64" s="56"/>
      <c r="AA64" s="56"/>
    </row>
    <row r="65" spans="1:27" ht="15.75" customHeight="1" x14ac:dyDescent="0.3">
      <c r="A65" s="60">
        <v>45732</v>
      </c>
      <c r="B65" s="121" t="str">
        <f t="shared" si="1"/>
        <v>março</v>
      </c>
      <c r="C65" s="33" t="s">
        <v>91</v>
      </c>
      <c r="D65" s="34" t="s">
        <v>58</v>
      </c>
      <c r="E65" s="61">
        <v>8.9</v>
      </c>
      <c r="F65" s="61">
        <f>IFERROR(Tabela2[[#This Row],[Custo Unitario]]*Tabela2[[#This Row],[Quantidade]]," ")</f>
        <v>0</v>
      </c>
      <c r="G65" s="61">
        <v>0</v>
      </c>
      <c r="H65" s="88">
        <v>0</v>
      </c>
      <c r="I65" s="61">
        <v>0</v>
      </c>
      <c r="J65" s="61">
        <v>0</v>
      </c>
      <c r="K65" s="62" t="str">
        <f>IF(Tabela2[[#This Row],[Valor Recebido.]]&gt;=Tabela2[[#This Row],[Valor da Venda]],"PAGO","A RECEBER")</f>
        <v>PAGO</v>
      </c>
      <c r="L65" s="56"/>
      <c r="M65" s="56"/>
      <c r="N65" s="56"/>
      <c r="O65" s="56"/>
      <c r="P65" s="56"/>
      <c r="Q65" s="56"/>
      <c r="R65" s="56"/>
      <c r="S65" s="56"/>
      <c r="T65" s="56"/>
      <c r="U65" s="56"/>
      <c r="V65" s="56"/>
      <c r="W65" s="56"/>
      <c r="X65" s="56"/>
      <c r="Y65" s="56"/>
      <c r="Z65" s="56"/>
      <c r="AA65" s="56"/>
    </row>
    <row r="66" spans="1:27" ht="15.75" customHeight="1" x14ac:dyDescent="0.3">
      <c r="A66" s="60">
        <v>45732</v>
      </c>
      <c r="B66" s="121" t="str">
        <f t="shared" ref="B66:B97" si="2">TEXT(A66,"mmmm")</f>
        <v>março</v>
      </c>
      <c r="C66" s="94" t="s">
        <v>223</v>
      </c>
      <c r="D66" s="34" t="s">
        <v>63</v>
      </c>
      <c r="E66" s="61">
        <f>IFERROR(VLOOKUP(Tabela2[[#This Row],[Produto ]],'Custo Produto'!B:R,16,0)," ")</f>
        <v>0.84575135395510281</v>
      </c>
      <c r="F66" s="61">
        <f>IFERROR(Tabela2[[#This Row],[Custo Unitario]]*Tabela2[[#This Row],[Quantidade]]," ")</f>
        <v>0.84575135395510281</v>
      </c>
      <c r="G66" s="61">
        <f>IFERROR(VLOOKUP(Tabela2[[#This Row],[Produto ]],'Custo Produto'!B:R,17,0)," ")</f>
        <v>20.000166456647218</v>
      </c>
      <c r="H66" s="88">
        <v>1</v>
      </c>
      <c r="I66" s="61">
        <v>20</v>
      </c>
      <c r="J66" s="61">
        <v>20</v>
      </c>
      <c r="K66" s="62" t="str">
        <f>IF(Tabela2[[#This Row],[Valor Recebido.]]&gt;=Tabela2[[#This Row],[Valor da Venda]],"PAGO","A RECEBER")</f>
        <v>PAGO</v>
      </c>
      <c r="L66" s="56"/>
      <c r="M66" s="56"/>
      <c r="N66" s="56"/>
      <c r="O66" s="56"/>
      <c r="P66" s="56"/>
      <c r="Q66" s="56"/>
      <c r="R66" s="56"/>
      <c r="S66" s="56"/>
      <c r="T66" s="56"/>
      <c r="U66" s="56"/>
      <c r="V66" s="56"/>
      <c r="W66" s="56"/>
      <c r="X66" s="56"/>
      <c r="Y66" s="56"/>
      <c r="Z66" s="56"/>
      <c r="AA66" s="56"/>
    </row>
    <row r="67" spans="1:27" ht="15.75" customHeight="1" x14ac:dyDescent="0.3">
      <c r="A67" s="60">
        <v>45732</v>
      </c>
      <c r="B67" s="94" t="str">
        <f t="shared" si="2"/>
        <v>março</v>
      </c>
      <c r="C67" s="87" t="s">
        <v>224</v>
      </c>
      <c r="D67" s="34" t="s">
        <v>63</v>
      </c>
      <c r="E67" s="61">
        <f>IFERROR(VLOOKUP(Tabela2[[#This Row],[Produto ]],'Custo Produto'!B:R,16,0)," ")</f>
        <v>0.84575135395510281</v>
      </c>
      <c r="F67" s="61">
        <f>IFERROR(Tabela2[[#This Row],[Custo Unitario]]*Tabela2[[#This Row],[Quantidade]]," ")</f>
        <v>0.84575135395510281</v>
      </c>
      <c r="G67" s="61">
        <f>IFERROR(VLOOKUP(Tabela2[[#This Row],[Produto ]],'Custo Produto'!B:R,17,0)," ")</f>
        <v>20.000166456647218</v>
      </c>
      <c r="H67" s="88">
        <v>1</v>
      </c>
      <c r="I67" s="61">
        <v>20</v>
      </c>
      <c r="J67" s="61">
        <v>20</v>
      </c>
      <c r="K67" s="62" t="str">
        <f>IF(Tabela2[[#This Row],[Valor Recebido.]]&gt;=Tabela2[[#This Row],[Valor da Venda]],"PAGO","A RECEBER")</f>
        <v>PAGO</v>
      </c>
      <c r="L67" s="56"/>
      <c r="M67" s="56"/>
      <c r="N67" s="56"/>
      <c r="O67" s="56"/>
      <c r="P67" s="56"/>
      <c r="Q67" s="56"/>
      <c r="R67" s="56"/>
      <c r="S67" s="56"/>
      <c r="T67" s="56"/>
      <c r="U67" s="56"/>
      <c r="V67" s="56"/>
      <c r="W67" s="56"/>
      <c r="X67" s="56"/>
      <c r="Y67" s="56"/>
      <c r="Z67" s="56"/>
      <c r="AA67" s="56"/>
    </row>
    <row r="68" spans="1:27" ht="15.75" customHeight="1" x14ac:dyDescent="0.3">
      <c r="A68" s="60">
        <v>45732</v>
      </c>
      <c r="B68" s="94" t="str">
        <f t="shared" si="2"/>
        <v>março</v>
      </c>
      <c r="C68" s="87" t="s">
        <v>189</v>
      </c>
      <c r="D68" s="34" t="s">
        <v>63</v>
      </c>
      <c r="E68" s="61">
        <f>IFERROR(VLOOKUP(Tabela2[[#This Row],[Produto ]],'Custo Produto'!B:R,16,0)," ")</f>
        <v>0.84575135395510281</v>
      </c>
      <c r="F68" s="61">
        <f>IFERROR(Tabela2[[#This Row],[Custo Unitario]]*Tabela2[[#This Row],[Quantidade]]," ")</f>
        <v>1.6915027079102056</v>
      </c>
      <c r="G68" s="61">
        <f>IFERROR(VLOOKUP(Tabela2[[#This Row],[Produto ]],'Custo Produto'!B:R,17,0)," ")</f>
        <v>20.000166456647218</v>
      </c>
      <c r="H68" s="88">
        <v>2</v>
      </c>
      <c r="I68" s="61">
        <v>40</v>
      </c>
      <c r="J68" s="61">
        <v>40</v>
      </c>
      <c r="K68" s="62" t="str">
        <f>IF(Tabela2[[#This Row],[Valor Recebido.]]&gt;=Tabela2[[#This Row],[Valor da Venda]],"PAGO","A RECEBER")</f>
        <v>PAGO</v>
      </c>
      <c r="L68" s="56"/>
      <c r="M68" s="56"/>
      <c r="N68" s="56"/>
      <c r="O68" s="56"/>
      <c r="P68" s="56"/>
      <c r="Q68" s="56"/>
      <c r="R68" s="56"/>
      <c r="S68" s="56"/>
      <c r="T68" s="56"/>
      <c r="U68" s="56"/>
      <c r="V68" s="56"/>
      <c r="W68" s="56"/>
      <c r="X68" s="56"/>
      <c r="Y68" s="56"/>
      <c r="Z68" s="56"/>
      <c r="AA68" s="56"/>
    </row>
    <row r="69" spans="1:27" ht="15.75" customHeight="1" x14ac:dyDescent="0.3">
      <c r="A69" s="60">
        <v>45732</v>
      </c>
      <c r="B69" s="94" t="str">
        <f t="shared" si="2"/>
        <v>março</v>
      </c>
      <c r="C69" s="87" t="s">
        <v>189</v>
      </c>
      <c r="D69" s="93" t="s">
        <v>194</v>
      </c>
      <c r="E69" s="61">
        <v>10</v>
      </c>
      <c r="F69" s="61">
        <f>IFERROR(Tabela2[[#This Row],[Custo Unitario]]*Tabela2[[#This Row],[Quantidade]]," ")</f>
        <v>0</v>
      </c>
      <c r="G69" s="61">
        <v>0</v>
      </c>
      <c r="H69" s="88">
        <v>0</v>
      </c>
      <c r="I69" s="61">
        <v>10</v>
      </c>
      <c r="J69" s="61">
        <v>10</v>
      </c>
      <c r="K69" s="62" t="str">
        <f>IF(Tabela2[[#This Row],[Valor Recebido.]]&gt;=Tabela2[[#This Row],[Valor da Venda]],"PAGO","A RECEBER")</f>
        <v>PAGO</v>
      </c>
      <c r="L69" s="56"/>
      <c r="M69" s="56"/>
      <c r="N69" s="56"/>
      <c r="O69" s="56"/>
      <c r="P69" s="56"/>
      <c r="Q69" s="56"/>
      <c r="R69" s="56"/>
      <c r="S69" s="56"/>
      <c r="T69" s="56"/>
      <c r="U69" s="56"/>
      <c r="V69" s="56"/>
      <c r="W69" s="56"/>
      <c r="X69" s="56"/>
      <c r="Y69" s="56"/>
      <c r="Z69" s="56"/>
      <c r="AA69" s="56"/>
    </row>
    <row r="70" spans="1:27" ht="15.75" customHeight="1" x14ac:dyDescent="0.3">
      <c r="A70" s="60">
        <v>45732</v>
      </c>
      <c r="B70" s="94" t="str">
        <f t="shared" si="2"/>
        <v>março</v>
      </c>
      <c r="C70" s="87" t="s">
        <v>225</v>
      </c>
      <c r="D70" s="34" t="s">
        <v>63</v>
      </c>
      <c r="E70" s="61">
        <f>IFERROR(VLOOKUP(Tabela2[[#This Row],[Produto ]],'Custo Produto'!B:R,16,0)," ")</f>
        <v>0.84575135395510281</v>
      </c>
      <c r="F70" s="61">
        <f>IFERROR(Tabela2[[#This Row],[Custo Unitario]]*Tabela2[[#This Row],[Quantidade]]," ")</f>
        <v>0.84575135395510281</v>
      </c>
      <c r="G70" s="61">
        <f>IFERROR(VLOOKUP(Tabela2[[#This Row],[Produto ]],'Custo Produto'!B:R,17,0)," ")</f>
        <v>20.000166456647218</v>
      </c>
      <c r="H70" s="88">
        <v>1</v>
      </c>
      <c r="I70" s="61">
        <v>20</v>
      </c>
      <c r="J70" s="61">
        <v>20</v>
      </c>
      <c r="K70" s="62" t="str">
        <f>IF(Tabela2[[#This Row],[Valor Recebido.]]&gt;=Tabela2[[#This Row],[Valor da Venda]],"PAGO","A RECEBER")</f>
        <v>PAGO</v>
      </c>
      <c r="L70" s="56"/>
      <c r="M70" s="56"/>
      <c r="N70" s="56"/>
      <c r="O70" s="56"/>
      <c r="P70" s="56"/>
      <c r="Q70" s="56"/>
      <c r="R70" s="56"/>
      <c r="S70" s="56"/>
      <c r="T70" s="56"/>
      <c r="U70" s="56"/>
      <c r="V70" s="56"/>
      <c r="W70" s="56"/>
      <c r="X70" s="56"/>
      <c r="Y70" s="56"/>
      <c r="Z70" s="56"/>
      <c r="AA70" s="56"/>
    </row>
    <row r="71" spans="1:27" ht="15.75" customHeight="1" x14ac:dyDescent="0.3">
      <c r="A71" s="60">
        <v>45734</v>
      </c>
      <c r="B71" s="121" t="str">
        <f t="shared" si="2"/>
        <v>março</v>
      </c>
      <c r="C71" s="87" t="s">
        <v>91</v>
      </c>
      <c r="D71" s="93" t="s">
        <v>58</v>
      </c>
      <c r="E71" s="61">
        <v>63.24</v>
      </c>
      <c r="F71" s="61">
        <f>IFERROR(Tabela2[[#This Row],[Custo Unitario]]*Tabela2[[#This Row],[Quantidade]]," ")</f>
        <v>0</v>
      </c>
      <c r="G71" s="61">
        <v>0</v>
      </c>
      <c r="H71" s="88">
        <v>0</v>
      </c>
      <c r="I71" s="61">
        <v>0</v>
      </c>
      <c r="J71" s="61">
        <v>0</v>
      </c>
      <c r="K71" s="62" t="str">
        <f>IF(Tabela2[[#This Row],[Valor Recebido.]]&gt;=Tabela2[[#This Row],[Valor da Venda]],"PAGO","A RECEBER")</f>
        <v>PAGO</v>
      </c>
      <c r="L71" s="56"/>
      <c r="M71" s="56"/>
      <c r="N71" s="56"/>
      <c r="O71" s="56"/>
      <c r="P71" s="56"/>
      <c r="Q71" s="56"/>
      <c r="R71" s="56"/>
      <c r="S71" s="56"/>
      <c r="T71" s="56"/>
      <c r="U71" s="56"/>
      <c r="V71" s="56"/>
      <c r="W71" s="56"/>
      <c r="X71" s="56"/>
      <c r="Y71" s="56"/>
      <c r="Z71" s="56"/>
      <c r="AA71" s="56"/>
    </row>
    <row r="72" spans="1:27" ht="15.75" customHeight="1" x14ac:dyDescent="0.3">
      <c r="A72" s="60">
        <v>45738</v>
      </c>
      <c r="B72" s="121" t="str">
        <f t="shared" si="2"/>
        <v>março</v>
      </c>
      <c r="C72" s="33" t="s">
        <v>183</v>
      </c>
      <c r="D72" s="34" t="s">
        <v>63</v>
      </c>
      <c r="E72" s="61">
        <f>IFERROR(VLOOKUP(Tabela2[[#This Row],[Produto ]],'Custo Produto'!B:R,16,0)," ")</f>
        <v>0.84575135395510281</v>
      </c>
      <c r="F72" s="61">
        <f>IFERROR(Tabela2[[#This Row],[Custo Unitario]]*Tabela2[[#This Row],[Quantidade]]," ")</f>
        <v>0.84575135395510281</v>
      </c>
      <c r="G72" s="61">
        <f>IFERROR(VLOOKUP(Tabela2[[#This Row],[Produto ]],'Custo Produto'!B:R,17,0)," ")</f>
        <v>20.000166456647218</v>
      </c>
      <c r="H72" s="88">
        <v>1</v>
      </c>
      <c r="I72" s="61">
        <v>20</v>
      </c>
      <c r="J72" s="61">
        <v>0</v>
      </c>
      <c r="K72" s="62" t="str">
        <f>IF(Tabela2[[#This Row],[Valor Recebido.]]&gt;=Tabela2[[#This Row],[Valor da Venda]],"PAGO","A RECEBER")</f>
        <v>A RECEBER</v>
      </c>
      <c r="L72" s="56"/>
      <c r="M72" s="56"/>
      <c r="N72" s="56"/>
      <c r="O72" s="56"/>
      <c r="P72" s="56"/>
      <c r="Q72" s="56"/>
      <c r="R72" s="56"/>
      <c r="S72" s="56"/>
      <c r="T72" s="56"/>
      <c r="U72" s="56"/>
      <c r="V72" s="56"/>
      <c r="W72" s="56"/>
      <c r="X72" s="56"/>
      <c r="Y72" s="56"/>
      <c r="Z72" s="56"/>
      <c r="AA72" s="56"/>
    </row>
    <row r="73" spans="1:27" ht="15.75" customHeight="1" x14ac:dyDescent="0.3">
      <c r="A73" s="60">
        <v>45738</v>
      </c>
      <c r="B73" s="121" t="str">
        <f t="shared" si="2"/>
        <v>março</v>
      </c>
      <c r="C73" s="87" t="s">
        <v>190</v>
      </c>
      <c r="D73" s="34" t="s">
        <v>63</v>
      </c>
      <c r="E73" s="61">
        <f>IFERROR(VLOOKUP(Tabela2[[#This Row],[Produto ]],'Custo Produto'!B:R,16,0)," ")</f>
        <v>0.84575135395510281</v>
      </c>
      <c r="F73" s="61">
        <f>IFERROR(Tabela2[[#This Row],[Custo Unitario]]*Tabela2[[#This Row],[Quantidade]]," ")</f>
        <v>1.6915027079102056</v>
      </c>
      <c r="G73" s="61">
        <f>IFERROR(VLOOKUP(Tabela2[[#This Row],[Produto ]],'Custo Produto'!B:R,17,0)," ")</f>
        <v>20.000166456647218</v>
      </c>
      <c r="H73" s="88">
        <v>2</v>
      </c>
      <c r="I73" s="61">
        <v>40</v>
      </c>
      <c r="J73" s="61">
        <v>40</v>
      </c>
      <c r="K73" s="62" t="str">
        <f>IF(Tabela2[[#This Row],[Valor Recebido.]]&gt;=Tabela2[[#This Row],[Valor da Venda]],"PAGO","A RECEBER")</f>
        <v>PAGO</v>
      </c>
      <c r="L73" s="56"/>
      <c r="M73" s="56"/>
      <c r="N73" s="56"/>
      <c r="O73" s="56"/>
      <c r="P73" s="56"/>
      <c r="Q73" s="56"/>
      <c r="R73" s="56"/>
      <c r="S73" s="56"/>
      <c r="T73" s="56"/>
      <c r="U73" s="56"/>
      <c r="V73" s="56"/>
      <c r="W73" s="56"/>
      <c r="X73" s="56"/>
      <c r="Y73" s="56"/>
      <c r="Z73" s="56"/>
      <c r="AA73" s="56"/>
    </row>
    <row r="74" spans="1:27" ht="15.75" customHeight="1" x14ac:dyDescent="0.3">
      <c r="A74" s="98">
        <v>45738</v>
      </c>
      <c r="B74" s="121" t="str">
        <f t="shared" si="2"/>
        <v>março</v>
      </c>
      <c r="C74" s="94" t="s">
        <v>236</v>
      </c>
      <c r="D74" s="34" t="s">
        <v>63</v>
      </c>
      <c r="E74" s="95">
        <f>IFERROR(VLOOKUP(Tabela2[[#This Row],[Produto ]],'Custo Produto'!B:R,16,0)," ")</f>
        <v>0.84575135395510281</v>
      </c>
      <c r="F74" s="95">
        <f>IFERROR(Tabela2[[#This Row],[Custo Unitario]]*Tabela2[[#This Row],[Quantidade]]," ")</f>
        <v>0.84575135395510281</v>
      </c>
      <c r="G74" s="95">
        <f>IFERROR(VLOOKUP(Tabela2[[#This Row],[Produto ]],'Custo Produto'!B:R,17,0)," ")</f>
        <v>20.000166456647218</v>
      </c>
      <c r="H74" s="96">
        <v>1</v>
      </c>
      <c r="I74" s="95">
        <v>20</v>
      </c>
      <c r="J74" s="95">
        <v>20</v>
      </c>
      <c r="K74" s="97" t="str">
        <f>IF(Tabela2[[#This Row],[Valor Recebido.]]&gt;=Tabela2[[#This Row],[Valor da Venda]],"PAGO","A RECEBER")</f>
        <v>PAGO</v>
      </c>
      <c r="L74" s="56"/>
      <c r="M74" s="56"/>
      <c r="N74" s="56"/>
      <c r="O74" s="56"/>
      <c r="P74" s="56"/>
      <c r="Q74" s="56"/>
      <c r="R74" s="56"/>
      <c r="S74" s="56"/>
      <c r="T74" s="56"/>
      <c r="U74" s="56"/>
      <c r="V74" s="56"/>
      <c r="W74" s="56"/>
      <c r="X74" s="56"/>
      <c r="Y74" s="56"/>
      <c r="Z74" s="56"/>
      <c r="AA74" s="56"/>
    </row>
    <row r="75" spans="1:27" ht="15.75" customHeight="1" x14ac:dyDescent="0.3">
      <c r="A75" s="98">
        <v>45739</v>
      </c>
      <c r="B75" s="94" t="str">
        <f t="shared" si="2"/>
        <v>março</v>
      </c>
      <c r="C75" s="94" t="s">
        <v>201</v>
      </c>
      <c r="D75" s="40" t="s">
        <v>63</v>
      </c>
      <c r="E75" s="95">
        <f>IFERROR(VLOOKUP(Tabela2[[#This Row],[Produto ]],'Custo Produto'!B:R,16,0)," ")</f>
        <v>0.84575135395510281</v>
      </c>
      <c r="F75" s="95">
        <f>IFERROR(Tabela2[[#This Row],[Custo Unitario]]*Tabela2[[#This Row],[Quantidade]]," ")</f>
        <v>0.84575135395510281</v>
      </c>
      <c r="G75" s="95">
        <f>IFERROR(VLOOKUP(Tabela2[[#This Row],[Produto ]],'Custo Produto'!B:R,17,0)," ")</f>
        <v>20.000166456647218</v>
      </c>
      <c r="H75" s="96">
        <v>1</v>
      </c>
      <c r="I75" s="95">
        <v>20</v>
      </c>
      <c r="J75" s="95">
        <v>0</v>
      </c>
      <c r="K75" s="97" t="str">
        <f>IF(Tabela2[[#This Row],[Valor Recebido.]]&gt;=Tabela2[[#This Row],[Valor da Venda]],"PAGO","A RECEBER")</f>
        <v>A RECEBER</v>
      </c>
      <c r="L75" s="56"/>
      <c r="M75" s="56"/>
      <c r="N75" s="56"/>
      <c r="O75" s="56"/>
      <c r="P75" s="56"/>
      <c r="Q75" s="56"/>
      <c r="R75" s="56"/>
      <c r="S75" s="56"/>
      <c r="T75" s="56"/>
      <c r="U75" s="56"/>
      <c r="V75" s="56"/>
      <c r="W75" s="56"/>
      <c r="X75" s="56"/>
      <c r="Y75" s="56"/>
      <c r="Z75" s="56"/>
      <c r="AA75" s="56"/>
    </row>
    <row r="76" spans="1:27" ht="15.75" customHeight="1" x14ac:dyDescent="0.3">
      <c r="A76" s="98">
        <v>45743</v>
      </c>
      <c r="B76" s="94" t="str">
        <f t="shared" si="2"/>
        <v>março</v>
      </c>
      <c r="C76" s="94" t="s">
        <v>187</v>
      </c>
      <c r="D76" s="34" t="s">
        <v>63</v>
      </c>
      <c r="E76" s="95">
        <f>IFERROR(VLOOKUP(Tabela2[[#This Row],[Produto ]],'Custo Produto'!B:R,16,0)," ")</f>
        <v>0.84575135395510281</v>
      </c>
      <c r="F76" s="95">
        <f>IFERROR(Tabela2[[#This Row],[Custo Unitario]]*Tabela2[[#This Row],[Quantidade]]," ")</f>
        <v>3.3830054158204113</v>
      </c>
      <c r="G76" s="95">
        <f>IFERROR(VLOOKUP(Tabela2[[#This Row],[Produto ]],'Custo Produto'!B:R,17,0)," ")</f>
        <v>20.000166456647218</v>
      </c>
      <c r="H76" s="96">
        <v>4</v>
      </c>
      <c r="I76" s="95">
        <v>80</v>
      </c>
      <c r="J76" s="95">
        <v>80</v>
      </c>
      <c r="K76" s="97" t="str">
        <f>IF(Tabela2[[#This Row],[Valor Recebido.]]&gt;=Tabela2[[#This Row],[Valor da Venda]],"PAGO","A RECEBER")</f>
        <v>PAGO</v>
      </c>
      <c r="L76" s="56"/>
      <c r="M76" s="56"/>
      <c r="N76" s="56"/>
      <c r="O76" s="56"/>
      <c r="P76" s="56"/>
      <c r="Q76" s="56"/>
      <c r="R76" s="56"/>
      <c r="S76" s="56"/>
      <c r="T76" s="56"/>
      <c r="U76" s="56"/>
      <c r="V76" s="56"/>
      <c r="W76" s="56"/>
      <c r="X76" s="56"/>
      <c r="Y76" s="56"/>
      <c r="Z76" s="56"/>
      <c r="AA76" s="56"/>
    </row>
    <row r="77" spans="1:27" ht="15.75" customHeight="1" x14ac:dyDescent="0.3">
      <c r="A77" s="60">
        <v>45745</v>
      </c>
      <c r="B77" s="94" t="str">
        <f t="shared" si="2"/>
        <v>março</v>
      </c>
      <c r="C77" s="94" t="s">
        <v>91</v>
      </c>
      <c r="D77" s="93" t="s">
        <v>58</v>
      </c>
      <c r="E77" s="61">
        <v>68.98</v>
      </c>
      <c r="F77" s="61">
        <f>IFERROR(Tabela2[[#This Row],[Custo Unitario]]*Tabela2[[#This Row],[Quantidade]]," ")</f>
        <v>0</v>
      </c>
      <c r="G77" s="61">
        <v>0</v>
      </c>
      <c r="H77" s="88">
        <v>0</v>
      </c>
      <c r="I77" s="61">
        <v>0</v>
      </c>
      <c r="J77" s="61">
        <v>0</v>
      </c>
      <c r="K77" s="62" t="str">
        <f>IF(Tabela2[[#This Row],[Valor Recebido.]]&gt;=Tabela2[[#This Row],[Valor da Venda]],"PAGO","A RECEBER")</f>
        <v>PAGO</v>
      </c>
      <c r="L77" s="56"/>
      <c r="M77" s="56"/>
      <c r="N77" s="56"/>
      <c r="O77" s="56"/>
      <c r="P77" s="56"/>
      <c r="Q77" s="56"/>
      <c r="R77" s="56"/>
      <c r="S77" s="56"/>
      <c r="T77" s="56"/>
      <c r="U77" s="56"/>
      <c r="V77" s="56"/>
      <c r="W77" s="56"/>
      <c r="X77" s="56"/>
      <c r="Y77" s="56"/>
      <c r="Z77" s="56"/>
      <c r="AA77" s="56"/>
    </row>
    <row r="78" spans="1:27" ht="15.75" customHeight="1" x14ac:dyDescent="0.3">
      <c r="A78" s="60">
        <v>45745</v>
      </c>
      <c r="B78" s="121" t="str">
        <f t="shared" si="2"/>
        <v>março</v>
      </c>
      <c r="C78" s="87" t="s">
        <v>91</v>
      </c>
      <c r="D78" s="93" t="s">
        <v>58</v>
      </c>
      <c r="E78" s="61">
        <v>94.5</v>
      </c>
      <c r="F78" s="61">
        <f>IFERROR(Tabela2[[#This Row],[Custo Unitario]]*Tabela2[[#This Row],[Quantidade]]," ")</f>
        <v>0</v>
      </c>
      <c r="G78" s="61">
        <v>0</v>
      </c>
      <c r="H78" s="88">
        <v>0</v>
      </c>
      <c r="I78" s="61">
        <v>0</v>
      </c>
      <c r="J78" s="61">
        <v>0</v>
      </c>
      <c r="K78" s="62" t="str">
        <f>IF(Tabela2[[#This Row],[Valor Recebido.]]&gt;=Tabela2[[#This Row],[Valor da Venda]],"PAGO","A RECEBER")</f>
        <v>PAGO</v>
      </c>
      <c r="L78" s="56"/>
      <c r="M78" s="56"/>
      <c r="N78" s="56"/>
      <c r="O78" s="56"/>
      <c r="P78" s="56"/>
      <c r="Q78" s="56"/>
      <c r="R78" s="56"/>
      <c r="S78" s="56"/>
      <c r="T78" s="56"/>
      <c r="U78" s="56"/>
      <c r="V78" s="56"/>
      <c r="W78" s="56"/>
      <c r="X78" s="56"/>
      <c r="Y78" s="56"/>
      <c r="Z78" s="56"/>
      <c r="AA78" s="56"/>
    </row>
    <row r="79" spans="1:27" ht="15.75" customHeight="1" x14ac:dyDescent="0.3">
      <c r="A79" s="60">
        <v>45745</v>
      </c>
      <c r="B79" s="121" t="str">
        <f t="shared" si="2"/>
        <v>março</v>
      </c>
      <c r="C79" s="87" t="s">
        <v>91</v>
      </c>
      <c r="D79" s="93" t="s">
        <v>58</v>
      </c>
      <c r="E79" s="61">
        <v>18</v>
      </c>
      <c r="F79" s="61">
        <f>IFERROR(Tabela2[[#This Row],[Custo Unitario]]*Tabela2[[#This Row],[Quantidade]]," ")</f>
        <v>0</v>
      </c>
      <c r="G79" s="61">
        <v>0</v>
      </c>
      <c r="H79" s="88">
        <v>0</v>
      </c>
      <c r="I79" s="61">
        <v>0</v>
      </c>
      <c r="J79" s="61">
        <v>0</v>
      </c>
      <c r="K79" s="62" t="str">
        <f>IF(Tabela2[[#This Row],[Valor Recebido.]]&gt;=Tabela2[[#This Row],[Valor da Venda]],"PAGO","A RECEBER")</f>
        <v>PAGO</v>
      </c>
      <c r="L79" s="56"/>
      <c r="M79" s="56"/>
      <c r="N79" s="56"/>
      <c r="O79" s="56"/>
      <c r="P79" s="56"/>
      <c r="Q79" s="56"/>
      <c r="R79" s="56"/>
      <c r="S79" s="56"/>
      <c r="T79" s="56"/>
      <c r="U79" s="56"/>
      <c r="V79" s="56"/>
      <c r="W79" s="56"/>
      <c r="X79" s="56"/>
      <c r="Y79" s="56"/>
      <c r="Z79" s="56"/>
      <c r="AA79" s="56"/>
    </row>
    <row r="80" spans="1:27" ht="15.75" customHeight="1" x14ac:dyDescent="0.3">
      <c r="A80" s="98">
        <v>45746</v>
      </c>
      <c r="B80" s="121" t="str">
        <f t="shared" si="2"/>
        <v>março</v>
      </c>
      <c r="C80" s="94" t="s">
        <v>91</v>
      </c>
      <c r="D80" s="93" t="s">
        <v>58</v>
      </c>
      <c r="E80" s="95">
        <v>134.72999999999999</v>
      </c>
      <c r="F80" s="95">
        <f>IFERROR(Tabela2[[#This Row],[Custo Unitario]]*Tabela2[[#This Row],[Quantidade]]," ")</f>
        <v>0</v>
      </c>
      <c r="G80" s="95">
        <v>0</v>
      </c>
      <c r="H80" s="96">
        <v>0</v>
      </c>
      <c r="I80" s="95">
        <v>0</v>
      </c>
      <c r="J80" s="95">
        <v>0</v>
      </c>
      <c r="K80" s="97" t="str">
        <f>IF(Tabela2[[#This Row],[Valor Recebido.]]&gt;=Tabela2[[#This Row],[Valor da Venda]],"PAGO","A RECEBER")</f>
        <v>PAGO</v>
      </c>
      <c r="L80" s="56"/>
      <c r="M80" s="56"/>
      <c r="N80" s="56"/>
      <c r="O80" s="56"/>
      <c r="P80" s="56"/>
      <c r="Q80" s="56"/>
      <c r="R80" s="56"/>
      <c r="S80" s="56"/>
      <c r="T80" s="56"/>
      <c r="U80" s="56"/>
      <c r="V80" s="56"/>
      <c r="W80" s="56"/>
      <c r="X80" s="56"/>
      <c r="Y80" s="56"/>
      <c r="Z80" s="56"/>
      <c r="AA80" s="56"/>
    </row>
    <row r="81" spans="1:27" ht="15.75" customHeight="1" x14ac:dyDescent="0.3">
      <c r="A81" s="60">
        <v>45746</v>
      </c>
      <c r="B81" s="94" t="str">
        <f t="shared" si="2"/>
        <v>março</v>
      </c>
      <c r="C81" s="87" t="s">
        <v>242</v>
      </c>
      <c r="D81" s="34" t="s">
        <v>63</v>
      </c>
      <c r="E81" s="61">
        <f>IFERROR(VLOOKUP(Tabela2[[#This Row],[Produto ]],'Custo Produto'!B:R,16,0)," ")</f>
        <v>0.84575135395510281</v>
      </c>
      <c r="F81" s="61">
        <f>IFERROR(Tabela2[[#This Row],[Custo Unitario]]*Tabela2[[#This Row],[Quantidade]]," ")</f>
        <v>1.6915027079102056</v>
      </c>
      <c r="G81" s="61">
        <f>IFERROR(VLOOKUP(Tabela2[[#This Row],[Produto ]],'Custo Produto'!B:R,17,0)," ")</f>
        <v>20.000166456647218</v>
      </c>
      <c r="H81" s="88">
        <v>2</v>
      </c>
      <c r="I81" s="61">
        <v>40</v>
      </c>
      <c r="J81" s="61">
        <v>40</v>
      </c>
      <c r="K81" s="62" t="str">
        <f>IF(Tabela2[[#This Row],[Valor Recebido.]]&gt;=Tabela2[[#This Row],[Valor da Venda]],"PAGO","A RECEBER")</f>
        <v>PAGO</v>
      </c>
      <c r="L81" s="56"/>
      <c r="M81" s="56"/>
      <c r="N81" s="56"/>
      <c r="O81" s="56"/>
      <c r="P81" s="56"/>
      <c r="Q81" s="56"/>
      <c r="R81" s="56"/>
      <c r="S81" s="56"/>
      <c r="T81" s="56"/>
      <c r="U81" s="56"/>
      <c r="V81" s="56"/>
      <c r="W81" s="56"/>
      <c r="X81" s="56"/>
      <c r="Y81" s="56"/>
      <c r="Z81" s="56"/>
      <c r="AA81" s="56"/>
    </row>
    <row r="82" spans="1:27" ht="15.75" customHeight="1" x14ac:dyDescent="0.3">
      <c r="A82" s="60">
        <v>45746</v>
      </c>
      <c r="B82" s="121" t="str">
        <f t="shared" si="2"/>
        <v>março</v>
      </c>
      <c r="C82" s="87" t="s">
        <v>242</v>
      </c>
      <c r="D82" s="34" t="s">
        <v>194</v>
      </c>
      <c r="E82" s="61">
        <v>10</v>
      </c>
      <c r="F82" s="61">
        <f>IFERROR(Tabela2[[#This Row],[Custo Unitario]]*Tabela2[[#This Row],[Quantidade]]," ")</f>
        <v>0</v>
      </c>
      <c r="G82" s="61">
        <v>0</v>
      </c>
      <c r="H82" s="88">
        <v>0</v>
      </c>
      <c r="I82" s="61">
        <v>10</v>
      </c>
      <c r="J82" s="61">
        <v>10</v>
      </c>
      <c r="K82" s="62" t="str">
        <f>IF(Tabela2[[#This Row],[Valor Recebido.]]&gt;=Tabela2[[#This Row],[Valor da Venda]],"PAGO","A RECEBER")</f>
        <v>PAGO</v>
      </c>
      <c r="L82" s="56"/>
      <c r="M82" s="56"/>
      <c r="N82" s="56"/>
      <c r="O82" s="56"/>
      <c r="P82" s="56"/>
      <c r="Q82" s="56"/>
      <c r="R82" s="56"/>
      <c r="S82" s="56"/>
      <c r="T82" s="56"/>
      <c r="U82" s="56"/>
      <c r="V82" s="56"/>
      <c r="W82" s="56"/>
      <c r="X82" s="56"/>
      <c r="Y82" s="56"/>
      <c r="Z82" s="56"/>
      <c r="AA82" s="56"/>
    </row>
    <row r="83" spans="1:27" ht="15.75" customHeight="1" x14ac:dyDescent="0.3">
      <c r="A83" s="60">
        <v>45746</v>
      </c>
      <c r="B83" s="121" t="str">
        <f t="shared" si="2"/>
        <v>março</v>
      </c>
      <c r="C83" s="87" t="s">
        <v>192</v>
      </c>
      <c r="D83" s="34" t="s">
        <v>63</v>
      </c>
      <c r="E83" s="61">
        <f>IFERROR(VLOOKUP(Tabela2[[#This Row],[Produto ]],'Custo Produto'!B:R,16,0)," ")</f>
        <v>0.84575135395510281</v>
      </c>
      <c r="F83" s="61">
        <f>IFERROR(Tabela2[[#This Row],[Custo Unitario]]*Tabela2[[#This Row],[Quantidade]]," ")</f>
        <v>0.84575135395510281</v>
      </c>
      <c r="G83" s="61">
        <f>IFERROR(VLOOKUP(Tabela2[[#This Row],[Produto ]],'Custo Produto'!B:R,17,0)," ")</f>
        <v>20.000166456647218</v>
      </c>
      <c r="H83" s="88">
        <v>1</v>
      </c>
      <c r="I83" s="61">
        <v>20</v>
      </c>
      <c r="J83" s="61">
        <v>20</v>
      </c>
      <c r="K83" s="62" t="str">
        <f>IF(Tabela2[[#This Row],[Valor Recebido.]]&gt;=Tabela2[[#This Row],[Valor da Venda]],"PAGO","A RECEBER")</f>
        <v>PAGO</v>
      </c>
      <c r="L83" s="56"/>
      <c r="M83" s="56"/>
      <c r="N83" s="56"/>
      <c r="O83" s="56"/>
      <c r="P83" s="56"/>
      <c r="Q83" s="56"/>
      <c r="R83" s="56"/>
      <c r="S83" s="56"/>
      <c r="T83" s="56"/>
      <c r="U83" s="56"/>
      <c r="V83" s="56"/>
      <c r="W83" s="56"/>
      <c r="X83" s="56"/>
      <c r="Y83" s="56"/>
      <c r="Z83" s="56"/>
      <c r="AA83" s="56"/>
    </row>
    <row r="84" spans="1:27" ht="15.75" customHeight="1" x14ac:dyDescent="0.3">
      <c r="A84" s="60">
        <v>45746</v>
      </c>
      <c r="B84" s="121" t="str">
        <f t="shared" si="2"/>
        <v>março</v>
      </c>
      <c r="C84" s="87" t="s">
        <v>243</v>
      </c>
      <c r="D84" s="34" t="s">
        <v>63</v>
      </c>
      <c r="E84" s="61">
        <f>IFERROR(VLOOKUP(Tabela2[[#This Row],[Produto ]],'Custo Produto'!B:R,16,0)," ")</f>
        <v>0.84575135395510281</v>
      </c>
      <c r="F84" s="61">
        <f>IFERROR(Tabela2[[#This Row],[Custo Unitario]]*Tabela2[[#This Row],[Quantidade]]," ")</f>
        <v>1.6915027079102056</v>
      </c>
      <c r="G84" s="61">
        <f>IFERROR(VLOOKUP(Tabela2[[#This Row],[Produto ]],'Custo Produto'!B:R,17,0)," ")</f>
        <v>20.000166456647218</v>
      </c>
      <c r="H84" s="88">
        <v>2</v>
      </c>
      <c r="I84" s="61">
        <v>40</v>
      </c>
      <c r="J84" s="61">
        <v>40</v>
      </c>
      <c r="K84" s="62" t="str">
        <f>IF(Tabela2[[#This Row],[Valor Recebido.]]&gt;=Tabela2[[#This Row],[Valor da Venda]],"PAGO","A RECEBER")</f>
        <v>PAGO</v>
      </c>
      <c r="L84" s="56"/>
      <c r="M84" s="56"/>
      <c r="N84" s="56"/>
      <c r="O84" s="56"/>
      <c r="P84" s="56"/>
      <c r="Q84" s="56"/>
      <c r="R84" s="56"/>
      <c r="S84" s="56"/>
      <c r="T84" s="56"/>
      <c r="U84" s="56"/>
      <c r="V84" s="56"/>
      <c r="W84" s="56"/>
      <c r="X84" s="56"/>
      <c r="Y84" s="56"/>
      <c r="Z84" s="56"/>
      <c r="AA84" s="56"/>
    </row>
    <row r="85" spans="1:27" ht="15.75" customHeight="1" x14ac:dyDescent="0.3">
      <c r="A85" s="60">
        <v>45746</v>
      </c>
      <c r="B85" s="121" t="str">
        <f t="shared" si="2"/>
        <v>março</v>
      </c>
      <c r="C85" s="87" t="s">
        <v>243</v>
      </c>
      <c r="D85" s="34" t="s">
        <v>194</v>
      </c>
      <c r="E85" s="61">
        <v>10</v>
      </c>
      <c r="F85" s="61">
        <f>IFERROR(Tabela2[[#This Row],[Custo Unitario]]*Tabela2[[#This Row],[Quantidade]]," ")</f>
        <v>0</v>
      </c>
      <c r="G85" s="61">
        <v>0</v>
      </c>
      <c r="H85" s="88">
        <v>0</v>
      </c>
      <c r="I85" s="61">
        <v>10</v>
      </c>
      <c r="J85" s="61">
        <v>10</v>
      </c>
      <c r="K85" s="97" t="str">
        <f>IF(Tabela2[[#This Row],[Valor Recebido.]]&gt;=Tabela2[[#This Row],[Valor da Venda]],"PAGO","A RECEBER")</f>
        <v>PAGO</v>
      </c>
      <c r="L85" s="56"/>
      <c r="M85" s="56"/>
      <c r="N85" s="56"/>
      <c r="O85" s="56"/>
      <c r="P85" s="56"/>
      <c r="Q85" s="56"/>
      <c r="R85" s="56"/>
      <c r="S85" s="56"/>
      <c r="T85" s="56"/>
      <c r="U85" s="56"/>
      <c r="V85" s="56"/>
      <c r="W85" s="56"/>
      <c r="X85" s="56"/>
      <c r="Y85" s="56"/>
      <c r="Z85" s="56"/>
      <c r="AA85" s="56"/>
    </row>
    <row r="86" spans="1:27" ht="15.75" customHeight="1" x14ac:dyDescent="0.3">
      <c r="A86" s="60">
        <v>45746</v>
      </c>
      <c r="B86" s="94" t="str">
        <f t="shared" si="2"/>
        <v>março</v>
      </c>
      <c r="C86" s="87" t="s">
        <v>244</v>
      </c>
      <c r="D86" s="34" t="s">
        <v>63</v>
      </c>
      <c r="E86" s="61">
        <f>IFERROR(VLOOKUP(Tabela2[[#This Row],[Produto ]],'Custo Produto'!B:R,16,0)," ")</f>
        <v>0.84575135395510281</v>
      </c>
      <c r="F86" s="61">
        <f>IFERROR(Tabela2[[#This Row],[Custo Unitario]]*Tabela2[[#This Row],[Quantidade]]," ")</f>
        <v>1.6915027079102056</v>
      </c>
      <c r="G86" s="61">
        <f>IFERROR(VLOOKUP(Tabela2[[#This Row],[Produto ]],'Custo Produto'!B:R,17,0)," ")</f>
        <v>20.000166456647218</v>
      </c>
      <c r="H86" s="88">
        <v>2</v>
      </c>
      <c r="I86" s="61">
        <v>40</v>
      </c>
      <c r="J86" s="61">
        <v>40</v>
      </c>
      <c r="K86" s="62" t="str">
        <f>IF(Tabela2[[#This Row],[Valor Recebido.]]&gt;=Tabela2[[#This Row],[Valor da Venda]],"PAGO","A RECEBER")</f>
        <v>PAGO</v>
      </c>
      <c r="L86" s="56"/>
      <c r="M86" s="56"/>
      <c r="N86" s="56"/>
      <c r="O86" s="56"/>
      <c r="P86" s="56"/>
      <c r="Q86" s="56"/>
      <c r="R86" s="56"/>
      <c r="S86" s="56"/>
      <c r="T86" s="56"/>
      <c r="U86" s="56"/>
      <c r="V86" s="56"/>
      <c r="W86" s="56"/>
      <c r="X86" s="56"/>
      <c r="Y86" s="56"/>
      <c r="Z86" s="56"/>
      <c r="AA86" s="56"/>
    </row>
    <row r="87" spans="1:27" ht="15.75" customHeight="1" x14ac:dyDescent="0.3">
      <c r="A87" s="60">
        <v>45746</v>
      </c>
      <c r="B87" s="94" t="str">
        <f t="shared" si="2"/>
        <v>março</v>
      </c>
      <c r="C87" s="87" t="s">
        <v>117</v>
      </c>
      <c r="D87" s="34" t="s">
        <v>63</v>
      </c>
      <c r="E87" s="61">
        <f>IFERROR(VLOOKUP(Tabela2[[#This Row],[Produto ]],'Custo Produto'!B:R,16,0)," ")</f>
        <v>0.84575135395510281</v>
      </c>
      <c r="F87" s="61">
        <f>IFERROR(Tabela2[[#This Row],[Custo Unitario]]*Tabela2[[#This Row],[Quantidade]]," ")</f>
        <v>1.6915027079102056</v>
      </c>
      <c r="G87" s="61">
        <f>IFERROR(VLOOKUP(Tabela2[[#This Row],[Produto ]],'Custo Produto'!B:R,17,0)," ")</f>
        <v>20.000166456647218</v>
      </c>
      <c r="H87" s="88">
        <v>2</v>
      </c>
      <c r="I87" s="61">
        <v>40</v>
      </c>
      <c r="J87" s="61">
        <v>40</v>
      </c>
      <c r="K87" s="62" t="str">
        <f>IF(Tabela2[[#This Row],[Valor Recebido.]]&gt;=Tabela2[[#This Row],[Valor da Venda]],"PAGO","A RECEBER")</f>
        <v>PAGO</v>
      </c>
      <c r="L87" s="56"/>
      <c r="M87" s="56"/>
      <c r="N87" s="56"/>
      <c r="O87" s="56"/>
      <c r="P87" s="56"/>
      <c r="Q87" s="56"/>
      <c r="R87" s="56"/>
      <c r="S87" s="56"/>
      <c r="T87" s="56"/>
      <c r="U87" s="56"/>
      <c r="V87" s="56"/>
      <c r="W87" s="56"/>
      <c r="X87" s="56"/>
      <c r="Y87" s="56"/>
      <c r="Z87" s="56"/>
      <c r="AA87" s="56"/>
    </row>
    <row r="88" spans="1:27" ht="15.75" customHeight="1" x14ac:dyDescent="0.3">
      <c r="A88" s="60">
        <v>45746</v>
      </c>
      <c r="B88" s="121" t="str">
        <f t="shared" si="2"/>
        <v>março</v>
      </c>
      <c r="C88" s="94" t="s">
        <v>245</v>
      </c>
      <c r="D88" s="34" t="s">
        <v>63</v>
      </c>
      <c r="E88" s="95">
        <f>IFERROR(VLOOKUP(Tabela2[[#This Row],[Produto ]],'Custo Produto'!B:R,16,0)," ")</f>
        <v>0.84575135395510281</v>
      </c>
      <c r="F88" s="95">
        <f>IFERROR(Tabela2[[#This Row],[Custo Unitario]]*Tabela2[[#This Row],[Quantidade]]," ")</f>
        <v>0.84575135395510281</v>
      </c>
      <c r="G88" s="95">
        <f>IFERROR(VLOOKUP(Tabela2[[#This Row],[Produto ]],'Custo Produto'!B:R,17,0)," ")</f>
        <v>20.000166456647218</v>
      </c>
      <c r="H88" s="96">
        <v>1</v>
      </c>
      <c r="I88" s="95">
        <v>20</v>
      </c>
      <c r="J88" s="95">
        <v>20</v>
      </c>
      <c r="K88" s="97" t="str">
        <f>IF(Tabela2[[#This Row],[Valor Recebido.]]&gt;=Tabela2[[#This Row],[Valor da Venda]],"PAGO","A RECEBER")</f>
        <v>PAGO</v>
      </c>
      <c r="L88" s="56"/>
      <c r="M88" s="56"/>
      <c r="N88" s="56"/>
      <c r="O88" s="56"/>
      <c r="P88" s="56"/>
      <c r="Q88" s="56"/>
      <c r="R88" s="56"/>
      <c r="S88" s="56"/>
      <c r="T88" s="56"/>
      <c r="U88" s="56"/>
      <c r="V88" s="56"/>
      <c r="W88" s="56"/>
      <c r="X88" s="56"/>
      <c r="Y88" s="56"/>
      <c r="Z88" s="56"/>
      <c r="AA88" s="56"/>
    </row>
    <row r="89" spans="1:27" ht="15.75" customHeight="1" x14ac:dyDescent="0.3">
      <c r="A89" s="98">
        <v>45749</v>
      </c>
      <c r="B89" s="94" t="str">
        <f t="shared" si="2"/>
        <v>abril</v>
      </c>
      <c r="C89" s="94" t="s">
        <v>193</v>
      </c>
      <c r="D89" s="34" t="s">
        <v>63</v>
      </c>
      <c r="E89" s="95">
        <f>IFERROR(VLOOKUP(Tabela2[[#This Row],[Produto ]],'Custo Produto'!B:R,16,0)," ")</f>
        <v>0.84575135395510281</v>
      </c>
      <c r="F89" s="95">
        <f>IFERROR(Tabela2[[#This Row],[Custo Unitario]]*Tabela2[[#This Row],[Quantidade]]," ")</f>
        <v>0.84575135395510281</v>
      </c>
      <c r="G89" s="95">
        <f>IFERROR(VLOOKUP(Tabela2[[#This Row],[Produto ]],'Custo Produto'!B:R,17,0)," ")</f>
        <v>20.000166456647218</v>
      </c>
      <c r="H89" s="96">
        <v>1</v>
      </c>
      <c r="I89" s="95">
        <v>20</v>
      </c>
      <c r="J89" s="95">
        <v>0</v>
      </c>
      <c r="K89" s="97" t="str">
        <f>IF(Tabela2[[#This Row],[Valor Recebido.]]&gt;=Tabela2[[#This Row],[Valor da Venda]],"PAGO","A RECEBER")</f>
        <v>A RECEBER</v>
      </c>
      <c r="L89" s="56"/>
      <c r="M89" s="56"/>
      <c r="N89" s="56"/>
      <c r="O89" s="56"/>
      <c r="P89" s="56"/>
      <c r="Q89" s="56"/>
      <c r="R89" s="56"/>
      <c r="S89" s="56"/>
      <c r="T89" s="56"/>
      <c r="U89" s="56"/>
      <c r="V89" s="56"/>
      <c r="W89" s="56"/>
      <c r="X89" s="56"/>
      <c r="Y89" s="56"/>
      <c r="Z89" s="56"/>
      <c r="AA89" s="56"/>
    </row>
    <row r="90" spans="1:27" ht="15.75" customHeight="1" x14ac:dyDescent="0.3">
      <c r="A90" s="98">
        <v>45753</v>
      </c>
      <c r="B90" s="94" t="str">
        <f t="shared" si="2"/>
        <v>abril</v>
      </c>
      <c r="C90" s="94" t="s">
        <v>251</v>
      </c>
      <c r="D90" s="34" t="s">
        <v>63</v>
      </c>
      <c r="E90" s="95">
        <f>IFERROR(VLOOKUP(Tabela2[[#This Row],[Produto ]],'Custo Produto'!B:R,16,0)," ")</f>
        <v>0.84575135395510281</v>
      </c>
      <c r="F90" s="95">
        <f>IFERROR(Tabela2[[#This Row],[Custo Unitario]]*Tabela2[[#This Row],[Quantidade]]," ")</f>
        <v>0.84575135395510281</v>
      </c>
      <c r="G90" s="95">
        <f>IFERROR(VLOOKUP(Tabela2[[#This Row],[Produto ]],'Custo Produto'!B:R,17,0)," ")</f>
        <v>20.000166456647218</v>
      </c>
      <c r="H90" s="96">
        <v>1</v>
      </c>
      <c r="I90" s="95">
        <v>20</v>
      </c>
      <c r="J90" s="95">
        <v>20</v>
      </c>
      <c r="K90" s="97" t="str">
        <f>IF(Tabela2[[#This Row],[Valor Recebido.]]&gt;=Tabela2[[#This Row],[Valor da Venda]],"PAGO","A RECEBER")</f>
        <v>PAGO</v>
      </c>
      <c r="L90" s="56"/>
      <c r="M90" s="56"/>
      <c r="N90" s="56"/>
      <c r="O90" s="56"/>
      <c r="P90" s="56"/>
      <c r="Q90" s="56"/>
      <c r="R90" s="56"/>
      <c r="S90" s="56"/>
      <c r="T90" s="56"/>
      <c r="U90" s="56"/>
      <c r="V90" s="56"/>
      <c r="W90" s="56"/>
      <c r="X90" s="56"/>
      <c r="Y90" s="56"/>
      <c r="Z90" s="56"/>
      <c r="AA90" s="56"/>
    </row>
    <row r="91" spans="1:27" ht="15.75" customHeight="1" x14ac:dyDescent="0.3">
      <c r="A91" s="60">
        <v>45753</v>
      </c>
      <c r="B91" s="94" t="str">
        <f t="shared" si="2"/>
        <v>abril</v>
      </c>
      <c r="C91" s="87" t="s">
        <v>180</v>
      </c>
      <c r="D91" s="34" t="s">
        <v>63</v>
      </c>
      <c r="E91" s="61">
        <f>IFERROR(VLOOKUP(Tabela2[[#This Row],[Produto ]],'Custo Produto'!B:R,16,0)," ")</f>
        <v>0.84575135395510281</v>
      </c>
      <c r="F91" s="61">
        <f>IFERROR(Tabela2[[#This Row],[Custo Unitario]]*Tabela2[[#This Row],[Quantidade]]," ")</f>
        <v>0.84575135395510281</v>
      </c>
      <c r="G91" s="61">
        <f>IFERROR(VLOOKUP(Tabela2[[#This Row],[Produto ]],'Custo Produto'!B:R,17,0)," ")</f>
        <v>20.000166456647218</v>
      </c>
      <c r="H91" s="88">
        <v>1</v>
      </c>
      <c r="I91" s="61">
        <v>20</v>
      </c>
      <c r="J91" s="61">
        <v>20</v>
      </c>
      <c r="K91" s="62" t="str">
        <f>IF(Tabela2[[#This Row],[Valor Recebido.]]&gt;=Tabela2[[#This Row],[Valor da Venda]],"PAGO","A RECEBER")</f>
        <v>PAGO</v>
      </c>
      <c r="L91" s="56"/>
      <c r="M91" s="56"/>
      <c r="N91" s="56"/>
      <c r="O91" s="56"/>
      <c r="P91" s="56"/>
      <c r="Q91" s="56"/>
      <c r="R91" s="56"/>
      <c r="S91" s="56"/>
      <c r="T91" s="56"/>
      <c r="U91" s="56"/>
      <c r="V91" s="56"/>
      <c r="W91" s="56"/>
      <c r="X91" s="56"/>
      <c r="Y91" s="56"/>
      <c r="Z91" s="56"/>
      <c r="AA91" s="56"/>
    </row>
    <row r="92" spans="1:27" ht="15.75" customHeight="1" x14ac:dyDescent="0.3">
      <c r="A92" s="60">
        <v>45753</v>
      </c>
      <c r="B92" s="121" t="str">
        <f t="shared" si="2"/>
        <v>abril</v>
      </c>
      <c r="C92" s="87" t="s">
        <v>243</v>
      </c>
      <c r="D92" s="34" t="s">
        <v>63</v>
      </c>
      <c r="E92" s="61">
        <f>IFERROR(VLOOKUP(Tabela2[[#This Row],[Produto ]],'Custo Produto'!B:R,16,0)," ")</f>
        <v>0.84575135395510281</v>
      </c>
      <c r="F92" s="61">
        <f>IFERROR(Tabela2[[#This Row],[Custo Unitario]]*Tabela2[[#This Row],[Quantidade]]," ")</f>
        <v>0.84575135395510281</v>
      </c>
      <c r="G92" s="61">
        <f>IFERROR(VLOOKUP(Tabela2[[#This Row],[Produto ]],'Custo Produto'!B:R,17,0)," ")</f>
        <v>20.000166456647218</v>
      </c>
      <c r="H92" s="88">
        <v>1</v>
      </c>
      <c r="I92" s="61">
        <v>20</v>
      </c>
      <c r="J92" s="61">
        <v>20</v>
      </c>
      <c r="K92" s="62" t="str">
        <f>IF(Tabela2[[#This Row],[Valor Recebido.]]&gt;=Tabela2[[#This Row],[Valor da Venda]],"PAGO","A RECEBER")</f>
        <v>PAGO</v>
      </c>
      <c r="L92" s="56"/>
      <c r="M92" s="56"/>
      <c r="N92" s="56"/>
      <c r="O92" s="56"/>
      <c r="P92" s="56"/>
      <c r="Q92" s="56"/>
      <c r="R92" s="56"/>
      <c r="S92" s="56"/>
      <c r="T92" s="56"/>
      <c r="U92" s="56"/>
      <c r="V92" s="56"/>
      <c r="W92" s="56"/>
      <c r="X92" s="56"/>
      <c r="Y92" s="56"/>
      <c r="Z92" s="56"/>
      <c r="AA92" s="56"/>
    </row>
    <row r="93" spans="1:27" ht="15.75" customHeight="1" x14ac:dyDescent="0.3">
      <c r="A93" s="60">
        <v>45753</v>
      </c>
      <c r="B93" s="121" t="str">
        <f t="shared" si="2"/>
        <v>abril</v>
      </c>
      <c r="C93" s="87" t="s">
        <v>99</v>
      </c>
      <c r="D93" s="34" t="s">
        <v>63</v>
      </c>
      <c r="E93" s="61">
        <f>IFERROR(VLOOKUP(Tabela2[[#This Row],[Produto ]],'Custo Produto'!B:R,16,0)," ")</f>
        <v>0.84575135395510281</v>
      </c>
      <c r="F93" s="61">
        <f>IFERROR(Tabela2[[#This Row],[Custo Unitario]]*Tabela2[[#This Row],[Quantidade]]," ")</f>
        <v>2.5372540618653083</v>
      </c>
      <c r="G93" s="61">
        <f>IFERROR(VLOOKUP(Tabela2[[#This Row],[Produto ]],'Custo Produto'!B:R,17,0)," ")</f>
        <v>20.000166456647218</v>
      </c>
      <c r="H93" s="88">
        <v>3</v>
      </c>
      <c r="I93" s="61">
        <v>60</v>
      </c>
      <c r="J93" s="61">
        <v>60</v>
      </c>
      <c r="K93" s="62" t="str">
        <f>IF(Tabela2[[#This Row],[Valor Recebido.]]&gt;=Tabela2[[#This Row],[Valor da Venda]],"PAGO","A RECEBER")</f>
        <v>PAGO</v>
      </c>
      <c r="L93" s="56"/>
      <c r="M93" s="56"/>
      <c r="N93" s="56"/>
      <c r="O93" s="56"/>
      <c r="P93" s="56"/>
      <c r="Q93" s="56"/>
      <c r="R93" s="56"/>
      <c r="S93" s="56"/>
      <c r="T93" s="56"/>
      <c r="U93" s="56"/>
      <c r="V93" s="56"/>
      <c r="W93" s="56"/>
      <c r="X93" s="56"/>
      <c r="Y93" s="56"/>
      <c r="Z93" s="56"/>
      <c r="AA93" s="56"/>
    </row>
    <row r="94" spans="1:27" ht="15.75" customHeight="1" x14ac:dyDescent="0.3">
      <c r="A94" s="60">
        <v>45753</v>
      </c>
      <c r="B94" s="121" t="str">
        <f t="shared" si="2"/>
        <v>abril</v>
      </c>
      <c r="C94" s="94" t="s">
        <v>94</v>
      </c>
      <c r="D94" s="34" t="s">
        <v>63</v>
      </c>
      <c r="E94" s="95">
        <f>IFERROR(VLOOKUP(Tabela2[[#This Row],[Produto ]],'Custo Produto'!B:R,16,0)," ")</f>
        <v>0.84575135395510281</v>
      </c>
      <c r="F94" s="95">
        <f>IFERROR(Tabela2[[#This Row],[Custo Unitario]]*Tabela2[[#This Row],[Quantidade]]," ")</f>
        <v>0.84575135395510281</v>
      </c>
      <c r="G94" s="95">
        <f>IFERROR(VLOOKUP(Tabela2[[#This Row],[Produto ]],'Custo Produto'!B:R,17,0)," ")</f>
        <v>20.000166456647218</v>
      </c>
      <c r="H94" s="96">
        <v>1</v>
      </c>
      <c r="I94" s="95">
        <v>20</v>
      </c>
      <c r="J94" s="95">
        <v>20</v>
      </c>
      <c r="K94" s="97" t="str">
        <f>IF(Tabela2[[#This Row],[Valor Recebido.]]&gt;=Tabela2[[#This Row],[Valor da Venda]],"PAGO","A RECEBER")</f>
        <v>PAGO</v>
      </c>
      <c r="L94" s="56"/>
      <c r="M94" s="56"/>
      <c r="N94" s="56"/>
      <c r="O94" s="56"/>
      <c r="P94" s="56"/>
      <c r="Q94" s="56"/>
      <c r="R94" s="56"/>
      <c r="S94" s="56"/>
      <c r="T94" s="56"/>
      <c r="U94" s="56"/>
      <c r="V94" s="56"/>
      <c r="W94" s="56"/>
      <c r="X94" s="56"/>
      <c r="Y94" s="56"/>
      <c r="Z94" s="56"/>
      <c r="AA94" s="56"/>
    </row>
    <row r="95" spans="1:27" ht="15.75" customHeight="1" x14ac:dyDescent="0.3">
      <c r="A95" s="60">
        <v>45753</v>
      </c>
      <c r="B95" s="94" t="str">
        <f t="shared" si="2"/>
        <v>abril</v>
      </c>
      <c r="C95" s="87" t="s">
        <v>250</v>
      </c>
      <c r="D95" s="34" t="s">
        <v>63</v>
      </c>
      <c r="E95" s="61">
        <f>IFERROR(VLOOKUP(Tabela2[[#This Row],[Produto ]],'Custo Produto'!B:R,16,0)," ")</f>
        <v>0.84575135395510281</v>
      </c>
      <c r="F95" s="61">
        <f>IFERROR(Tabela2[[#This Row],[Custo Unitario]]*Tabela2[[#This Row],[Quantidade]]," ")</f>
        <v>0.84575135395510281</v>
      </c>
      <c r="G95" s="61">
        <f>IFERROR(VLOOKUP(Tabela2[[#This Row],[Produto ]],'Custo Produto'!B:R,17,0)," ")</f>
        <v>20.000166456647218</v>
      </c>
      <c r="H95" s="88">
        <v>1</v>
      </c>
      <c r="I95" s="61">
        <v>20</v>
      </c>
      <c r="J95" s="61">
        <v>20</v>
      </c>
      <c r="K95" s="62" t="str">
        <f>IF(Tabela2[[#This Row],[Valor Recebido.]]&gt;=Tabela2[[#This Row],[Valor da Venda]],"PAGO","A RECEBER")</f>
        <v>PAGO</v>
      </c>
      <c r="L95" s="56"/>
      <c r="M95" s="56"/>
      <c r="N95" s="56"/>
      <c r="O95" s="56"/>
      <c r="P95" s="56"/>
      <c r="Q95" s="56"/>
      <c r="R95" s="56"/>
      <c r="S95" s="56"/>
      <c r="T95" s="56"/>
      <c r="U95" s="56"/>
      <c r="V95" s="56"/>
      <c r="W95" s="56"/>
      <c r="X95" s="56"/>
      <c r="Y95" s="56"/>
      <c r="Z95" s="56"/>
      <c r="AA95" s="56"/>
    </row>
    <row r="96" spans="1:27" ht="15.75" customHeight="1" x14ac:dyDescent="0.3">
      <c r="A96" s="60">
        <v>45754</v>
      </c>
      <c r="B96" s="121" t="str">
        <f t="shared" si="2"/>
        <v>abril</v>
      </c>
      <c r="C96" s="87" t="s">
        <v>91</v>
      </c>
      <c r="D96" s="93" t="s">
        <v>58</v>
      </c>
      <c r="E96" s="61">
        <v>33.15</v>
      </c>
      <c r="F96" s="61">
        <f>IFERROR(Tabela2[[#This Row],[Custo Unitario]]*Tabela2[[#This Row],[Quantidade]]," ")</f>
        <v>0</v>
      </c>
      <c r="G96" s="61">
        <v>0</v>
      </c>
      <c r="H96" s="88">
        <v>0</v>
      </c>
      <c r="I96" s="61">
        <v>0</v>
      </c>
      <c r="J96" s="61">
        <v>0</v>
      </c>
      <c r="K96" s="62" t="str">
        <f>IF(Tabela2[[#This Row],[Valor Recebido.]]&gt;=Tabela2[[#This Row],[Valor da Venda]],"PAGO","A RECEBER")</f>
        <v>PAGO</v>
      </c>
      <c r="L96" s="56"/>
      <c r="M96" s="56"/>
      <c r="N96" s="56"/>
      <c r="O96" s="56"/>
      <c r="P96" s="56"/>
      <c r="Q96" s="56"/>
      <c r="R96" s="56"/>
      <c r="S96" s="56"/>
      <c r="T96" s="56"/>
      <c r="U96" s="56"/>
      <c r="V96" s="56"/>
      <c r="W96" s="56"/>
      <c r="X96" s="56"/>
      <c r="Y96" s="56"/>
      <c r="Z96" s="56"/>
      <c r="AA96" s="56"/>
    </row>
    <row r="97" spans="1:27" ht="15.75" customHeight="1" x14ac:dyDescent="0.3">
      <c r="A97" s="98">
        <v>45754</v>
      </c>
      <c r="B97" s="94" t="str">
        <f t="shared" si="2"/>
        <v>abril</v>
      </c>
      <c r="C97" s="94" t="s">
        <v>189</v>
      </c>
      <c r="D97" s="34" t="s">
        <v>63</v>
      </c>
      <c r="E97" s="95">
        <f>IFERROR(VLOOKUP(Tabela2[[#This Row],[Produto ]],'Custo Produto'!B:R,16,0)," ")</f>
        <v>0.84575135395510281</v>
      </c>
      <c r="F97" s="95">
        <f>IFERROR(Tabela2[[#This Row],[Custo Unitario]]*Tabela2[[#This Row],[Quantidade]]," ")</f>
        <v>0.84575135395510281</v>
      </c>
      <c r="G97" s="95">
        <f>IFERROR(VLOOKUP(Tabela2[[#This Row],[Produto ]],'Custo Produto'!B:R,17,0)," ")</f>
        <v>20.000166456647218</v>
      </c>
      <c r="H97" s="96">
        <v>1</v>
      </c>
      <c r="I97" s="95">
        <v>20</v>
      </c>
      <c r="J97" s="95">
        <v>20</v>
      </c>
      <c r="K97" s="97" t="str">
        <f>IF(Tabela2[[#This Row],[Valor Recebido.]]&gt;=Tabela2[[#This Row],[Valor da Venda]],"PAGO","A RECEBER")</f>
        <v>PAGO</v>
      </c>
      <c r="L97" s="56"/>
      <c r="M97" s="56"/>
      <c r="N97" s="56"/>
      <c r="O97" s="56"/>
      <c r="P97" s="56"/>
      <c r="Q97" s="56"/>
      <c r="R97" s="56"/>
      <c r="S97" s="56"/>
      <c r="T97" s="56"/>
      <c r="U97" s="56"/>
      <c r="V97" s="56"/>
      <c r="W97" s="56"/>
      <c r="X97" s="56"/>
      <c r="Y97" s="56"/>
      <c r="Z97" s="56"/>
      <c r="AA97" s="56"/>
    </row>
    <row r="98" spans="1:27" ht="15.75" customHeight="1" x14ac:dyDescent="0.3">
      <c r="A98" s="98">
        <v>45754</v>
      </c>
      <c r="B98" s="94" t="str">
        <f t="shared" ref="B98:B117" si="3">TEXT(A98,"mmmm")</f>
        <v>abril</v>
      </c>
      <c r="C98" s="94" t="s">
        <v>189</v>
      </c>
      <c r="D98" s="159" t="s">
        <v>194</v>
      </c>
      <c r="E98" s="95">
        <v>10</v>
      </c>
      <c r="F98" s="95">
        <v>0</v>
      </c>
      <c r="G98" s="95">
        <v>0</v>
      </c>
      <c r="H98" s="96">
        <v>0</v>
      </c>
      <c r="I98" s="95">
        <v>10</v>
      </c>
      <c r="J98" s="95">
        <v>10</v>
      </c>
      <c r="K98" s="97" t="str">
        <f>IF(Tabela2[[#This Row],[Valor Recebido.]]&gt;=Tabela2[[#This Row],[Valor da Venda]],"PAGO","A RECEBER")</f>
        <v>PAGO</v>
      </c>
      <c r="L98" s="56"/>
      <c r="M98" s="56"/>
      <c r="N98" s="56"/>
      <c r="O98" s="56"/>
      <c r="P98" s="56"/>
      <c r="Q98" s="56"/>
      <c r="R98" s="56"/>
      <c r="S98" s="56"/>
      <c r="T98" s="56"/>
      <c r="U98" s="56"/>
      <c r="V98" s="56"/>
      <c r="W98" s="56"/>
      <c r="X98" s="56"/>
      <c r="Y98" s="56"/>
      <c r="Z98" s="56"/>
      <c r="AA98" s="56"/>
    </row>
    <row r="99" spans="1:27" ht="15.75" customHeight="1" x14ac:dyDescent="0.3">
      <c r="A99" s="60">
        <v>45759</v>
      </c>
      <c r="B99" s="94" t="str">
        <f t="shared" si="3"/>
        <v>abril</v>
      </c>
      <c r="C99" s="87" t="s">
        <v>91</v>
      </c>
      <c r="D99" s="93" t="s">
        <v>58</v>
      </c>
      <c r="E99" s="61">
        <v>53.26</v>
      </c>
      <c r="F99" s="61">
        <v>0</v>
      </c>
      <c r="G99" s="61">
        <v>0</v>
      </c>
      <c r="H99" s="88">
        <v>0</v>
      </c>
      <c r="I99" s="61">
        <v>0</v>
      </c>
      <c r="J99" s="61">
        <v>0</v>
      </c>
      <c r="K99" s="62" t="str">
        <f>IF(Tabela2[[#This Row],[Valor Recebido.]]&gt;=Tabela2[[#This Row],[Valor da Venda]],"PAGO","A RECEBER")</f>
        <v>PAGO</v>
      </c>
      <c r="L99" s="56"/>
      <c r="M99" s="56"/>
      <c r="N99" s="56"/>
      <c r="O99" s="56"/>
      <c r="P99" s="56"/>
      <c r="Q99" s="56"/>
      <c r="R99" s="56"/>
      <c r="S99" s="56"/>
      <c r="T99" s="56"/>
      <c r="U99" s="56"/>
      <c r="V99" s="56"/>
      <c r="W99" s="56"/>
      <c r="X99" s="56"/>
      <c r="Y99" s="56"/>
      <c r="Z99" s="56"/>
      <c r="AA99" s="56"/>
    </row>
    <row r="100" spans="1:27" ht="15.75" customHeight="1" x14ac:dyDescent="0.3">
      <c r="A100" s="60">
        <v>45759</v>
      </c>
      <c r="B100" s="94" t="str">
        <f t="shared" si="3"/>
        <v>abril</v>
      </c>
      <c r="C100" s="87" t="s">
        <v>91</v>
      </c>
      <c r="D100" s="93" t="s">
        <v>58</v>
      </c>
      <c r="E100" s="61">
        <v>124.72</v>
      </c>
      <c r="F100" s="61">
        <f>IFERROR(Tabela2[[#This Row],[Custo Unitario]]*Tabela2[[#This Row],[Quantidade]]," ")</f>
        <v>0</v>
      </c>
      <c r="G100" s="61">
        <v>0</v>
      </c>
      <c r="H100" s="88">
        <v>0</v>
      </c>
      <c r="I100" s="61">
        <v>0</v>
      </c>
      <c r="J100" s="61">
        <v>0</v>
      </c>
      <c r="K100" s="62" t="str">
        <f>IF(Tabela2[[#This Row],[Valor Recebido.]]&gt;=Tabela2[[#This Row],[Valor da Venda]],"PAGO","A RECEBER")</f>
        <v>PAGO</v>
      </c>
      <c r="L100" s="56"/>
      <c r="M100" s="56"/>
      <c r="N100" s="56"/>
      <c r="O100" s="56"/>
      <c r="P100" s="56"/>
      <c r="Q100" s="56"/>
      <c r="R100" s="56"/>
      <c r="S100" s="56"/>
      <c r="T100" s="56"/>
      <c r="U100" s="56"/>
      <c r="V100" s="56"/>
      <c r="W100" s="56"/>
      <c r="X100" s="56"/>
      <c r="Y100" s="56"/>
      <c r="Z100" s="56"/>
      <c r="AA100" s="56"/>
    </row>
    <row r="101" spans="1:27" ht="15.75" customHeight="1" x14ac:dyDescent="0.3">
      <c r="A101" s="60">
        <v>45759</v>
      </c>
      <c r="B101" s="94" t="str">
        <f t="shared" si="3"/>
        <v>abril</v>
      </c>
      <c r="C101" s="87" t="s">
        <v>91</v>
      </c>
      <c r="D101" s="93" t="s">
        <v>58</v>
      </c>
      <c r="E101" s="61">
        <v>166.41</v>
      </c>
      <c r="F101" s="61">
        <f>IFERROR(Tabela2[[#This Row],[Custo Unitario]]*Tabela2[[#This Row],[Quantidade]]," ")</f>
        <v>0</v>
      </c>
      <c r="G101" s="61">
        <v>0</v>
      </c>
      <c r="H101" s="88">
        <v>0</v>
      </c>
      <c r="I101" s="61">
        <v>0</v>
      </c>
      <c r="J101" s="61">
        <v>0</v>
      </c>
      <c r="K101" s="62" t="str">
        <f>IF(Tabela2[[#This Row],[Valor Recebido.]]&gt;=Tabela2[[#This Row],[Valor da Venda]],"PAGO","A RECEBER")</f>
        <v>PAGO</v>
      </c>
      <c r="L101" s="56"/>
      <c r="M101" s="56"/>
      <c r="N101" s="56"/>
      <c r="O101" s="56"/>
      <c r="P101" s="56"/>
      <c r="Q101" s="56"/>
      <c r="R101" s="56"/>
      <c r="S101" s="56"/>
      <c r="T101" s="56"/>
      <c r="U101" s="56"/>
      <c r="V101" s="56"/>
      <c r="W101" s="56"/>
      <c r="X101" s="56"/>
      <c r="Y101" s="56"/>
      <c r="Z101" s="56"/>
      <c r="AA101" s="56"/>
    </row>
    <row r="102" spans="1:27" ht="15.75" customHeight="1" x14ac:dyDescent="0.3">
      <c r="A102" s="60">
        <v>45764</v>
      </c>
      <c r="B102" s="94" t="str">
        <f t="shared" si="3"/>
        <v>abril</v>
      </c>
      <c r="C102" s="87" t="s">
        <v>91</v>
      </c>
      <c r="D102" s="93" t="s">
        <v>58</v>
      </c>
      <c r="E102" s="61">
        <v>70.260000000000005</v>
      </c>
      <c r="F102" s="61">
        <f>IFERROR(Tabela2[[#This Row],[Custo Unitario]]*Tabela2[[#This Row],[Quantidade]]," ")</f>
        <v>0</v>
      </c>
      <c r="G102" s="61">
        <v>0</v>
      </c>
      <c r="H102" s="88">
        <v>0</v>
      </c>
      <c r="I102" s="61">
        <v>0</v>
      </c>
      <c r="J102" s="61">
        <v>0</v>
      </c>
      <c r="K102" s="62" t="str">
        <f>IF(Tabela2[[#This Row],[Valor Recebido.]]&gt;=Tabela2[[#This Row],[Valor da Venda]],"PAGO","A RECEBER")</f>
        <v>PAGO</v>
      </c>
      <c r="L102" s="56"/>
      <c r="M102" s="56"/>
      <c r="N102" s="56"/>
      <c r="O102" s="56"/>
      <c r="P102" s="56"/>
      <c r="Q102" s="56"/>
      <c r="R102" s="56"/>
      <c r="S102" s="56"/>
      <c r="T102" s="56"/>
      <c r="U102" s="56"/>
      <c r="V102" s="56"/>
      <c r="W102" s="56"/>
      <c r="X102" s="56"/>
      <c r="Y102" s="56"/>
      <c r="Z102" s="56"/>
      <c r="AA102" s="56"/>
    </row>
    <row r="103" spans="1:27" ht="15.75" customHeight="1" x14ac:dyDescent="0.3">
      <c r="A103" s="60">
        <v>45766</v>
      </c>
      <c r="B103" s="94" t="str">
        <f t="shared" si="3"/>
        <v>abril</v>
      </c>
      <c r="C103" s="87" t="s">
        <v>250</v>
      </c>
      <c r="D103" s="34" t="s">
        <v>63</v>
      </c>
      <c r="E103" s="61">
        <f>IFERROR(VLOOKUP(Tabela2[[#This Row],[Produto ]],'Custo Produto'!B:R,16,0)," ")</f>
        <v>0.84575135395510281</v>
      </c>
      <c r="F103" s="61">
        <f>IFERROR(Tabela2[[#This Row],[Custo Unitario]]*Tabela2[[#This Row],[Quantidade]]," ")</f>
        <v>1.6915027079102056</v>
      </c>
      <c r="G103" s="61">
        <f>IFERROR(VLOOKUP(Tabela2[[#This Row],[Produto ]],'Custo Produto'!B:R,17,0)," ")</f>
        <v>20.000166456647218</v>
      </c>
      <c r="H103" s="88">
        <v>2</v>
      </c>
      <c r="I103" s="61">
        <v>40</v>
      </c>
      <c r="J103" s="61">
        <v>40</v>
      </c>
      <c r="K103" s="62" t="str">
        <f>IF(Tabela2[[#This Row],[Valor Recebido.]]&gt;=Tabela2[[#This Row],[Valor da Venda]],"PAGO","A RECEBER")</f>
        <v>PAGO</v>
      </c>
      <c r="L103" s="56"/>
      <c r="M103" s="56"/>
      <c r="N103" s="56"/>
      <c r="O103" s="56"/>
      <c r="P103" s="56"/>
      <c r="Q103" s="56"/>
      <c r="R103" s="56"/>
      <c r="S103" s="56"/>
      <c r="T103" s="56"/>
      <c r="U103" s="56"/>
      <c r="V103" s="56"/>
      <c r="W103" s="56"/>
      <c r="X103" s="56"/>
      <c r="Y103" s="56"/>
      <c r="Z103" s="56"/>
      <c r="AA103" s="56"/>
    </row>
    <row r="104" spans="1:27" ht="15.75" customHeight="1" x14ac:dyDescent="0.3">
      <c r="A104" s="60">
        <v>45766</v>
      </c>
      <c r="B104" s="121" t="str">
        <f t="shared" si="3"/>
        <v>abril</v>
      </c>
      <c r="C104" s="87" t="s">
        <v>250</v>
      </c>
      <c r="D104" s="93" t="s">
        <v>194</v>
      </c>
      <c r="E104" s="61">
        <v>0</v>
      </c>
      <c r="F104" s="61">
        <v>0</v>
      </c>
      <c r="G104" s="61">
        <v>0</v>
      </c>
      <c r="H104" s="88">
        <v>1</v>
      </c>
      <c r="I104" s="61">
        <v>10</v>
      </c>
      <c r="J104" s="61">
        <v>10</v>
      </c>
      <c r="K104" s="62" t="str">
        <f>IF(Tabela2[[#This Row],[Valor Recebido.]]&gt;=Tabela2[[#This Row],[Valor da Venda]],"PAGO","A RECEBER")</f>
        <v>PAGO</v>
      </c>
      <c r="L104" s="56"/>
      <c r="M104" s="56"/>
      <c r="N104" s="56"/>
      <c r="O104" s="56"/>
      <c r="P104" s="56"/>
      <c r="Q104" s="56"/>
      <c r="R104" s="56"/>
      <c r="S104" s="56"/>
      <c r="T104" s="56"/>
      <c r="U104" s="56"/>
      <c r="V104" s="56"/>
      <c r="W104" s="56"/>
      <c r="X104" s="56"/>
      <c r="Y104" s="56"/>
      <c r="Z104" s="56"/>
      <c r="AA104" s="56"/>
    </row>
    <row r="105" spans="1:27" ht="15.75" customHeight="1" x14ac:dyDescent="0.3">
      <c r="A105" s="60">
        <v>45766</v>
      </c>
      <c r="B105" s="121" t="str">
        <f t="shared" si="3"/>
        <v>abril</v>
      </c>
      <c r="C105" s="87" t="s">
        <v>260</v>
      </c>
      <c r="D105" s="93" t="s">
        <v>261</v>
      </c>
      <c r="E105" s="61">
        <v>0</v>
      </c>
      <c r="F105" s="61">
        <v>0</v>
      </c>
      <c r="G105" s="61">
        <v>0</v>
      </c>
      <c r="H105" s="88">
        <v>1</v>
      </c>
      <c r="I105" s="61">
        <v>50</v>
      </c>
      <c r="J105" s="61">
        <v>50</v>
      </c>
      <c r="K105" s="62" t="str">
        <f>IF(Tabela2[[#This Row],[Valor Recebido.]]&gt;=Tabela2[[#This Row],[Valor da Venda]],"PAGO","A RECEBER")</f>
        <v>PAGO</v>
      </c>
      <c r="L105" s="56"/>
      <c r="M105" s="56"/>
      <c r="N105" s="56"/>
      <c r="O105" s="56"/>
      <c r="P105" s="56"/>
      <c r="Q105" s="56"/>
      <c r="R105" s="56"/>
      <c r="S105" s="56"/>
      <c r="T105" s="56"/>
      <c r="U105" s="56"/>
      <c r="V105" s="56"/>
      <c r="W105" s="56"/>
      <c r="X105" s="56"/>
      <c r="Y105" s="56"/>
      <c r="Z105" s="56"/>
      <c r="AA105" s="56"/>
    </row>
    <row r="106" spans="1:27" ht="15.75" customHeight="1" x14ac:dyDescent="0.3">
      <c r="A106" s="60">
        <v>45766</v>
      </c>
      <c r="B106" s="121" t="str">
        <f t="shared" si="3"/>
        <v>abril</v>
      </c>
      <c r="C106" s="87" t="s">
        <v>99</v>
      </c>
      <c r="D106" s="93" t="s">
        <v>259</v>
      </c>
      <c r="E106" s="61">
        <v>0</v>
      </c>
      <c r="F106" s="61">
        <v>0</v>
      </c>
      <c r="G106" s="61">
        <v>0</v>
      </c>
      <c r="H106" s="88">
        <v>1</v>
      </c>
      <c r="I106" s="61">
        <v>241</v>
      </c>
      <c r="J106" s="61">
        <v>241</v>
      </c>
      <c r="K106" s="62" t="str">
        <f>IF(Tabela2[[#This Row],[Valor Recebido.]]&gt;=Tabela2[[#This Row],[Valor da Venda]],"PAGO","A RECEBER")</f>
        <v>PAGO</v>
      </c>
      <c r="L106" s="56"/>
      <c r="M106" s="56"/>
      <c r="N106" s="56"/>
      <c r="O106" s="56"/>
      <c r="P106" s="56"/>
      <c r="Q106" s="56"/>
      <c r="R106" s="56"/>
      <c r="S106" s="56"/>
      <c r="T106" s="56"/>
      <c r="U106" s="56"/>
      <c r="V106" s="56"/>
      <c r="W106" s="56"/>
      <c r="X106" s="56"/>
      <c r="Y106" s="56"/>
      <c r="Z106" s="56"/>
      <c r="AA106" s="56"/>
    </row>
    <row r="107" spans="1:27" ht="15.75" customHeight="1" x14ac:dyDescent="0.3">
      <c r="A107" s="60">
        <v>45766</v>
      </c>
      <c r="B107" s="121" t="str">
        <f t="shared" si="3"/>
        <v>abril</v>
      </c>
      <c r="C107" s="87" t="s">
        <v>99</v>
      </c>
      <c r="D107" s="93" t="s">
        <v>261</v>
      </c>
      <c r="E107" s="61">
        <v>0</v>
      </c>
      <c r="F107" s="61">
        <v>0</v>
      </c>
      <c r="G107" s="61">
        <v>0</v>
      </c>
      <c r="H107" s="88">
        <v>2</v>
      </c>
      <c r="I107" s="61">
        <v>100</v>
      </c>
      <c r="J107" s="61">
        <v>100</v>
      </c>
      <c r="K107" s="62" t="str">
        <f>IF(Tabela2[[#This Row],[Valor Recebido.]]&gt;=Tabela2[[#This Row],[Valor da Venda]],"PAGO","A RECEBER")</f>
        <v>PAGO</v>
      </c>
      <c r="L107" s="56"/>
      <c r="M107" s="56"/>
      <c r="N107" s="56"/>
      <c r="O107" s="56"/>
      <c r="P107" s="56"/>
      <c r="Q107" s="56"/>
      <c r="R107" s="56"/>
      <c r="S107" s="56"/>
      <c r="T107" s="56"/>
      <c r="U107" s="56"/>
      <c r="V107" s="56"/>
      <c r="W107" s="56"/>
      <c r="X107" s="56"/>
      <c r="Y107" s="56"/>
      <c r="Z107" s="56"/>
      <c r="AA107" s="56"/>
    </row>
    <row r="108" spans="1:27" ht="15.75" customHeight="1" x14ac:dyDescent="0.3">
      <c r="A108" s="60">
        <v>45766</v>
      </c>
      <c r="B108" s="121" t="str">
        <f t="shared" si="3"/>
        <v>abril</v>
      </c>
      <c r="C108" s="87" t="s">
        <v>99</v>
      </c>
      <c r="D108" s="93" t="s">
        <v>194</v>
      </c>
      <c r="E108" s="61">
        <v>0</v>
      </c>
      <c r="F108" s="61">
        <v>0</v>
      </c>
      <c r="G108" s="61">
        <v>0</v>
      </c>
      <c r="H108" s="88">
        <v>1</v>
      </c>
      <c r="I108" s="61">
        <v>10</v>
      </c>
      <c r="J108" s="61">
        <v>10</v>
      </c>
      <c r="K108" s="62" t="str">
        <f>IF(Tabela2[[#This Row],[Valor Recebido.]]&gt;=Tabela2[[#This Row],[Valor da Venda]],"PAGO","A RECEBER")</f>
        <v>PAGO</v>
      </c>
      <c r="L108" s="56"/>
      <c r="M108" s="56"/>
      <c r="N108" s="56"/>
      <c r="O108" s="56"/>
      <c r="P108" s="56"/>
      <c r="Q108" s="56"/>
      <c r="R108" s="56"/>
      <c r="S108" s="56"/>
      <c r="T108" s="56"/>
      <c r="U108" s="56"/>
      <c r="V108" s="56"/>
      <c r="W108" s="56"/>
      <c r="X108" s="56"/>
      <c r="Y108" s="56"/>
      <c r="Z108" s="56"/>
      <c r="AA108" s="56"/>
    </row>
    <row r="109" spans="1:27" ht="15.75" customHeight="1" x14ac:dyDescent="0.3">
      <c r="A109" s="60">
        <v>45766</v>
      </c>
      <c r="B109" s="121" t="str">
        <f t="shared" si="3"/>
        <v>abril</v>
      </c>
      <c r="C109" s="87" t="s">
        <v>94</v>
      </c>
      <c r="D109" s="34" t="s">
        <v>63</v>
      </c>
      <c r="E109" s="61">
        <f>IFERROR(VLOOKUP(Tabela2[[#This Row],[Produto ]],'Custo Produto'!B:R,16,0)," ")</f>
        <v>0.84575135395510281</v>
      </c>
      <c r="F109" s="61">
        <f>IFERROR(Tabela2[[#This Row],[Custo Unitario]]*Tabela2[[#This Row],[Quantidade]]," ")</f>
        <v>1.6915027079102056</v>
      </c>
      <c r="G109" s="61">
        <f>IFERROR(VLOOKUP(Tabela2[[#This Row],[Produto ]],'Custo Produto'!B:R,17,0)," ")</f>
        <v>20.000166456647218</v>
      </c>
      <c r="H109" s="88">
        <v>2</v>
      </c>
      <c r="I109" s="61">
        <v>40</v>
      </c>
      <c r="J109" s="61">
        <v>40</v>
      </c>
      <c r="K109" s="62" t="str">
        <f>IF(Tabela2[[#This Row],[Valor Recebido.]]&gt;=Tabela2[[#This Row],[Valor da Venda]],"PAGO","A RECEBER")</f>
        <v>PAGO</v>
      </c>
      <c r="L109" s="56"/>
      <c r="M109" s="56"/>
      <c r="N109" s="56"/>
      <c r="O109" s="56"/>
      <c r="P109" s="56"/>
      <c r="Q109" s="56"/>
      <c r="R109" s="56"/>
      <c r="S109" s="56"/>
      <c r="T109" s="56"/>
      <c r="U109" s="56"/>
      <c r="V109" s="56"/>
      <c r="W109" s="56"/>
      <c r="X109" s="56"/>
      <c r="Y109" s="56"/>
      <c r="Z109" s="56"/>
      <c r="AA109" s="56"/>
    </row>
    <row r="110" spans="1:27" ht="15.75" customHeight="1" x14ac:dyDescent="0.3">
      <c r="A110" s="60">
        <v>45766</v>
      </c>
      <c r="B110" s="121" t="str">
        <f t="shared" si="3"/>
        <v>abril</v>
      </c>
      <c r="C110" s="87" t="s">
        <v>244</v>
      </c>
      <c r="D110" s="34" t="s">
        <v>63</v>
      </c>
      <c r="E110" s="95">
        <f>IFERROR(VLOOKUP(Tabela2[[#This Row],[Produto ]],'Custo Produto'!B:R,16,0)," ")</f>
        <v>0.84575135395510281</v>
      </c>
      <c r="F110" s="95">
        <f>IFERROR(Tabela2[[#This Row],[Custo Unitario]]*Tabela2[[#This Row],[Quantidade]]," ")</f>
        <v>1.6915027079102056</v>
      </c>
      <c r="G110" s="95">
        <f>IFERROR(VLOOKUP(Tabela2[[#This Row],[Produto ]],'Custo Produto'!B:R,17,0)," ")</f>
        <v>20.000166456647218</v>
      </c>
      <c r="H110" s="96">
        <v>2</v>
      </c>
      <c r="I110" s="95">
        <v>40</v>
      </c>
      <c r="J110" s="95">
        <v>40</v>
      </c>
      <c r="K110" s="97" t="str">
        <f>IF(Tabela2[[#This Row],[Valor Recebido.]]&gt;=Tabela2[[#This Row],[Valor da Venda]],"PAGO","A RECEBER")</f>
        <v>PAGO</v>
      </c>
      <c r="L110" s="56"/>
      <c r="M110" s="56"/>
      <c r="N110" s="56"/>
      <c r="O110" s="56"/>
      <c r="P110" s="56"/>
      <c r="Q110" s="56"/>
      <c r="R110" s="56"/>
      <c r="S110" s="56"/>
      <c r="T110" s="56"/>
      <c r="U110" s="56"/>
      <c r="V110" s="56"/>
      <c r="W110" s="56"/>
      <c r="X110" s="56"/>
      <c r="Y110" s="56"/>
      <c r="Z110" s="56"/>
      <c r="AA110" s="56"/>
    </row>
    <row r="111" spans="1:27" ht="15.75" customHeight="1" x14ac:dyDescent="0.3">
      <c r="A111" s="60">
        <v>45766</v>
      </c>
      <c r="B111" s="94" t="str">
        <f t="shared" si="3"/>
        <v>abril</v>
      </c>
      <c r="C111" s="87" t="s">
        <v>244</v>
      </c>
      <c r="D111" s="93" t="s">
        <v>261</v>
      </c>
      <c r="E111" s="61">
        <v>0</v>
      </c>
      <c r="F111" s="61">
        <v>0</v>
      </c>
      <c r="G111" s="61">
        <v>0</v>
      </c>
      <c r="H111" s="88">
        <v>2</v>
      </c>
      <c r="I111" s="61">
        <v>100</v>
      </c>
      <c r="J111" s="61">
        <v>100</v>
      </c>
      <c r="K111" s="62" t="str">
        <f>IF(Tabela2[[#This Row],[Valor Recebido.]]&gt;=Tabela2[[#This Row],[Valor da Venda]],"PAGO","A RECEBER")</f>
        <v>PAGO</v>
      </c>
      <c r="L111" s="56"/>
      <c r="M111" s="56"/>
      <c r="N111" s="56"/>
      <c r="O111" s="56"/>
      <c r="P111" s="56"/>
      <c r="Q111" s="56"/>
      <c r="R111" s="56"/>
      <c r="S111" s="56"/>
      <c r="T111" s="56"/>
      <c r="U111" s="56"/>
      <c r="V111" s="56"/>
      <c r="W111" s="56"/>
      <c r="X111" s="56"/>
      <c r="Y111" s="56"/>
      <c r="Z111" s="56"/>
      <c r="AA111" s="56"/>
    </row>
    <row r="112" spans="1:27" ht="15.75" customHeight="1" x14ac:dyDescent="0.3">
      <c r="A112" s="60">
        <v>45766</v>
      </c>
      <c r="B112" s="121" t="str">
        <f t="shared" si="3"/>
        <v>abril</v>
      </c>
      <c r="C112" s="87" t="s">
        <v>262</v>
      </c>
      <c r="D112" s="93" t="s">
        <v>261</v>
      </c>
      <c r="E112" s="61">
        <v>0</v>
      </c>
      <c r="F112" s="61">
        <v>0</v>
      </c>
      <c r="G112" s="61">
        <v>0</v>
      </c>
      <c r="H112" s="88">
        <v>1</v>
      </c>
      <c r="I112" s="61">
        <v>50</v>
      </c>
      <c r="J112" s="61">
        <v>50</v>
      </c>
      <c r="K112" s="62" t="str">
        <f>IF(Tabela2[[#This Row],[Valor Recebido.]]&gt;=Tabela2[[#This Row],[Valor da Venda]],"PAGO","A RECEBER")</f>
        <v>PAGO</v>
      </c>
      <c r="L112" s="56"/>
      <c r="M112" s="56"/>
      <c r="N112" s="56"/>
      <c r="O112" s="56"/>
      <c r="P112" s="56"/>
      <c r="Q112" s="56"/>
      <c r="R112" s="56"/>
      <c r="S112" s="56"/>
      <c r="T112" s="56"/>
      <c r="U112" s="56"/>
      <c r="V112" s="56"/>
      <c r="W112" s="56"/>
      <c r="X112" s="56"/>
      <c r="Y112" s="56"/>
      <c r="Z112" s="56"/>
      <c r="AA112" s="56"/>
    </row>
    <row r="113" spans="1:27" ht="15.75" customHeight="1" x14ac:dyDescent="0.3">
      <c r="A113" s="60">
        <v>45766</v>
      </c>
      <c r="B113" s="121" t="str">
        <f t="shared" si="3"/>
        <v>abril</v>
      </c>
      <c r="C113" s="94" t="s">
        <v>109</v>
      </c>
      <c r="D113" s="159" t="s">
        <v>261</v>
      </c>
      <c r="E113" s="95">
        <v>0</v>
      </c>
      <c r="F113" s="95">
        <v>0</v>
      </c>
      <c r="G113" s="95">
        <v>0</v>
      </c>
      <c r="H113" s="96">
        <v>1</v>
      </c>
      <c r="I113" s="95">
        <v>50</v>
      </c>
      <c r="J113" s="95">
        <v>50</v>
      </c>
      <c r="K113" s="97" t="str">
        <f>IF(Tabela2[[#This Row],[Valor Recebido.]]&gt;=Tabela2[[#This Row],[Valor da Venda]],"PAGO","A RECEBER")</f>
        <v>PAGO</v>
      </c>
      <c r="L113" s="56"/>
      <c r="M113" s="56"/>
      <c r="N113" s="56"/>
      <c r="O113" s="56"/>
      <c r="P113" s="56"/>
      <c r="Q113" s="56"/>
      <c r="R113" s="56"/>
      <c r="S113" s="56"/>
      <c r="T113" s="56"/>
      <c r="U113" s="56"/>
      <c r="V113" s="56"/>
      <c r="W113" s="56"/>
      <c r="X113" s="56"/>
      <c r="Y113" s="56"/>
      <c r="Z113" s="56"/>
      <c r="AA113" s="56"/>
    </row>
    <row r="114" spans="1:27" ht="15.75" customHeight="1" x14ac:dyDescent="0.3">
      <c r="A114" s="60">
        <v>45766</v>
      </c>
      <c r="B114" s="94" t="str">
        <f t="shared" si="3"/>
        <v>abril</v>
      </c>
      <c r="C114" s="87" t="s">
        <v>180</v>
      </c>
      <c r="D114" s="93" t="s">
        <v>261</v>
      </c>
      <c r="E114" s="61">
        <v>0</v>
      </c>
      <c r="F114" s="61">
        <v>0</v>
      </c>
      <c r="G114" s="61">
        <v>0</v>
      </c>
      <c r="H114" s="88">
        <v>2</v>
      </c>
      <c r="I114" s="61">
        <v>100</v>
      </c>
      <c r="J114" s="61">
        <v>100</v>
      </c>
      <c r="K114" s="62" t="str">
        <f>IF(Tabela2[[#This Row],[Valor Recebido.]]&gt;=Tabela2[[#This Row],[Valor da Venda]],"PAGO","A RECEBER")</f>
        <v>PAGO</v>
      </c>
      <c r="L114" s="56"/>
      <c r="M114" s="56"/>
      <c r="N114" s="56"/>
      <c r="O114" s="56"/>
      <c r="P114" s="56"/>
      <c r="Q114" s="56"/>
      <c r="R114" s="56"/>
      <c r="S114" s="56"/>
      <c r="T114" s="56"/>
      <c r="U114" s="56"/>
      <c r="V114" s="56"/>
      <c r="W114" s="56"/>
      <c r="X114" s="56"/>
      <c r="Y114" s="56"/>
      <c r="Z114" s="56"/>
      <c r="AA114" s="56"/>
    </row>
    <row r="115" spans="1:27" ht="15.75" customHeight="1" x14ac:dyDescent="0.3">
      <c r="A115" s="60">
        <v>45766</v>
      </c>
      <c r="B115" s="121" t="str">
        <f t="shared" si="3"/>
        <v>abril</v>
      </c>
      <c r="C115" s="87" t="s">
        <v>113</v>
      </c>
      <c r="D115" s="93" t="s">
        <v>263</v>
      </c>
      <c r="E115" s="61">
        <v>0</v>
      </c>
      <c r="F115" s="61">
        <v>0</v>
      </c>
      <c r="G115" s="61">
        <v>0</v>
      </c>
      <c r="H115" s="88">
        <v>1</v>
      </c>
      <c r="I115" s="61">
        <v>45</v>
      </c>
      <c r="J115" s="61"/>
      <c r="K115" s="62" t="str">
        <f>IF(Tabela2[[#This Row],[Valor Recebido.]]&gt;=Tabela2[[#This Row],[Valor da Venda]],"PAGO","A RECEBER")</f>
        <v>A RECEBER</v>
      </c>
      <c r="L115" s="56"/>
      <c r="M115" s="56"/>
      <c r="N115" s="56"/>
      <c r="O115" s="56"/>
      <c r="P115" s="56"/>
      <c r="Q115" s="56"/>
      <c r="R115" s="56"/>
      <c r="S115" s="56"/>
      <c r="T115" s="56"/>
      <c r="U115" s="56"/>
      <c r="V115" s="56"/>
      <c r="W115" s="56"/>
      <c r="X115" s="56"/>
      <c r="Y115" s="56"/>
      <c r="Z115" s="56"/>
      <c r="AA115" s="56"/>
    </row>
    <row r="116" spans="1:27" ht="15.75" customHeight="1" x14ac:dyDescent="0.3">
      <c r="A116" s="60">
        <v>45766</v>
      </c>
      <c r="B116" s="121" t="str">
        <f t="shared" si="3"/>
        <v>abril</v>
      </c>
      <c r="C116" s="87" t="s">
        <v>264</v>
      </c>
      <c r="D116" s="93" t="s">
        <v>257</v>
      </c>
      <c r="E116" s="61">
        <v>0</v>
      </c>
      <c r="F116" s="61">
        <v>0</v>
      </c>
      <c r="G116" s="61">
        <v>0</v>
      </c>
      <c r="H116" s="88">
        <v>1</v>
      </c>
      <c r="I116" s="61">
        <v>16</v>
      </c>
      <c r="J116" s="61">
        <v>16</v>
      </c>
      <c r="K116" s="62" t="str">
        <f>IF(Tabela2[[#This Row],[Valor Recebido.]]&gt;=Tabela2[[#This Row],[Valor da Venda]],"PAGO","A RECEBER")</f>
        <v>PAGO</v>
      </c>
      <c r="L116" s="56"/>
      <c r="M116" s="56"/>
      <c r="N116" s="56"/>
      <c r="O116" s="56"/>
      <c r="P116" s="56"/>
      <c r="Q116" s="56"/>
      <c r="R116" s="56"/>
      <c r="S116" s="56"/>
      <c r="T116" s="56"/>
      <c r="U116" s="56"/>
      <c r="V116" s="56"/>
      <c r="W116" s="56"/>
      <c r="X116" s="56"/>
      <c r="Y116" s="56"/>
      <c r="Z116" s="56"/>
      <c r="AA116" s="56"/>
    </row>
    <row r="117" spans="1:27" ht="15.75" customHeight="1" x14ac:dyDescent="0.3">
      <c r="A117" s="98">
        <v>45766</v>
      </c>
      <c r="B117" s="94" t="str">
        <f t="shared" si="3"/>
        <v>abril</v>
      </c>
      <c r="C117" s="94" t="s">
        <v>236</v>
      </c>
      <c r="D117" s="40" t="s">
        <v>63</v>
      </c>
      <c r="E117" s="95">
        <f>IFERROR(VLOOKUP(Tabela2[[#This Row],[Produto ]],'Custo Produto'!B:R,16,0)," ")</f>
        <v>0.84575135395510281</v>
      </c>
      <c r="F117" s="95">
        <f>IFERROR(Tabela2[[#This Row],[Custo Unitario]]*Tabela2[[#This Row],[Quantidade]]," ")</f>
        <v>0.84575135395510281</v>
      </c>
      <c r="G117" s="95">
        <f>IFERROR(VLOOKUP(Tabela2[[#This Row],[Produto ]],'Custo Produto'!B:R,17,0)," ")</f>
        <v>20.000166456647218</v>
      </c>
      <c r="H117" s="96">
        <v>1</v>
      </c>
      <c r="I117" s="95">
        <v>20</v>
      </c>
      <c r="J117" s="95">
        <v>20</v>
      </c>
      <c r="K117" s="97" t="str">
        <f>IF(Tabela2[[#This Row],[Valor Recebido.]]&gt;=Tabela2[[#This Row],[Valor da Venda]],"PAGO","A RECEBER")</f>
        <v>PAGO</v>
      </c>
      <c r="L117" s="56"/>
      <c r="M117" s="56"/>
      <c r="N117" s="56"/>
      <c r="O117" s="56"/>
      <c r="P117" s="56"/>
      <c r="Q117" s="56"/>
      <c r="R117" s="56"/>
      <c r="S117" s="56"/>
      <c r="T117" s="56"/>
      <c r="U117" s="56"/>
      <c r="V117" s="56"/>
      <c r="W117" s="56"/>
      <c r="X117" s="56"/>
      <c r="Y117" s="56"/>
      <c r="Z117" s="56"/>
      <c r="AA117" s="56"/>
    </row>
    <row r="118" spans="1:27" ht="15.75" customHeight="1" x14ac:dyDescent="0.3">
      <c r="A118" s="60">
        <v>45773</v>
      </c>
      <c r="B118" s="94" t="str">
        <f t="shared" ref="B118:B119" si="4">TEXT(A118,"mmmm")</f>
        <v>abril</v>
      </c>
      <c r="C118" s="87" t="s">
        <v>280</v>
      </c>
      <c r="D118" s="93" t="s">
        <v>64</v>
      </c>
      <c r="E118" s="61">
        <f>IFERROR(VLOOKUP(Tabela2[[#This Row],[Produto ]],'Custo Produto'!B:R,16,0)," ")</f>
        <v>0.84618865765682594</v>
      </c>
      <c r="F118" s="61">
        <f>IFERROR(Tabela2[[#This Row],[Custo Unitario]]*Tabela2[[#This Row],[Quantidade]]," ")</f>
        <v>0.84618865765682594</v>
      </c>
      <c r="G118" s="61">
        <f>IFERROR(VLOOKUP(Tabela2[[#This Row],[Produto ]],'Custo Produto'!B:R,17,0)," ")</f>
        <v>169.99682897253953</v>
      </c>
      <c r="H118" s="88">
        <v>1</v>
      </c>
      <c r="I118" s="61">
        <v>210</v>
      </c>
      <c r="J118" s="61">
        <v>210</v>
      </c>
      <c r="K118" s="62" t="str">
        <f>IF(Tabela2[[#This Row],[Valor Recebido.]]&gt;=Tabela2[[#This Row],[Valor da Venda]],"PAGO","A RECEBER")</f>
        <v>PAGO</v>
      </c>
      <c r="L118" s="56"/>
      <c r="M118" s="56"/>
      <c r="N118" s="56"/>
      <c r="O118" s="56"/>
      <c r="P118" s="56"/>
      <c r="Q118" s="56"/>
      <c r="R118" s="56"/>
      <c r="S118" s="56"/>
      <c r="T118" s="56"/>
      <c r="U118" s="56"/>
      <c r="V118" s="56"/>
      <c r="W118" s="56"/>
      <c r="X118" s="56"/>
      <c r="Y118" s="56"/>
      <c r="Z118" s="56"/>
      <c r="AA118" s="56"/>
    </row>
    <row r="119" spans="1:27" ht="15.75" customHeight="1" x14ac:dyDescent="0.3">
      <c r="A119" s="98">
        <v>45773</v>
      </c>
      <c r="B119" s="121" t="str">
        <f t="shared" si="4"/>
        <v>abril</v>
      </c>
      <c r="C119" s="94" t="s">
        <v>112</v>
      </c>
      <c r="D119" s="159" t="s">
        <v>258</v>
      </c>
      <c r="E119" s="95">
        <v>0</v>
      </c>
      <c r="F119" s="95">
        <v>0</v>
      </c>
      <c r="G119" s="95">
        <v>0</v>
      </c>
      <c r="H119" s="96">
        <v>1</v>
      </c>
      <c r="I119" s="95">
        <v>261</v>
      </c>
      <c r="J119" s="95">
        <v>261</v>
      </c>
      <c r="K119" s="97" t="str">
        <f>IF(Tabela2[[#This Row],[Valor Recebido.]]&gt;=Tabela2[[#This Row],[Valor da Venda]],"PAGO","A RECEBER")</f>
        <v>PAGO</v>
      </c>
      <c r="L119" s="56"/>
      <c r="M119" s="56"/>
      <c r="N119" s="56"/>
      <c r="O119" s="56"/>
      <c r="P119" s="56"/>
      <c r="Q119" s="56"/>
      <c r="R119" s="56"/>
      <c r="S119" s="56"/>
      <c r="T119" s="56"/>
      <c r="U119" s="56"/>
      <c r="V119" s="56"/>
      <c r="W119" s="56"/>
      <c r="X119" s="56"/>
      <c r="Y119" s="56"/>
      <c r="Z119" s="56"/>
      <c r="AA119" s="56"/>
    </row>
    <row r="120" spans="1:27" ht="15.75" customHeight="1" x14ac:dyDescent="0.3">
      <c r="A120" s="98">
        <v>45781</v>
      </c>
      <c r="B120" s="94" t="str">
        <f>TEXT(A120,"mmmm")</f>
        <v>maio</v>
      </c>
      <c r="C120" s="94" t="s">
        <v>281</v>
      </c>
      <c r="D120" s="40" t="s">
        <v>63</v>
      </c>
      <c r="E120" s="95">
        <f>IFERROR(VLOOKUP(Tabela2[[#This Row],[Produto ]],'Custo Produto'!B:R,16,0)," ")</f>
        <v>0.84575135395510281</v>
      </c>
      <c r="F120" s="95">
        <f>IFERROR(Tabela2[[#This Row],[Custo Unitario]]*Tabela2[[#This Row],[Quantidade]]," ")</f>
        <v>1.6915027079102056</v>
      </c>
      <c r="G120" s="95">
        <f>IFERROR(VLOOKUP(Tabela2[[#This Row],[Produto ]],'Custo Produto'!B:R,17,0)," ")</f>
        <v>20.000166456647218</v>
      </c>
      <c r="H120" s="96">
        <v>2</v>
      </c>
      <c r="I120" s="95">
        <v>40</v>
      </c>
      <c r="J120" s="95">
        <v>40</v>
      </c>
      <c r="K120" s="97" t="str">
        <f>IF(Tabela2[[#This Row],[Valor Recebido.]]&gt;=Tabela2[[#This Row],[Valor da Venda]],"PAGO","A RECEBER")</f>
        <v>PAGO</v>
      </c>
      <c r="L120" s="56"/>
      <c r="M120" s="56"/>
      <c r="N120" s="56"/>
      <c r="O120" s="56"/>
      <c r="P120" s="56"/>
      <c r="Q120" s="56"/>
      <c r="R120" s="56"/>
      <c r="S120" s="56"/>
      <c r="T120" s="56"/>
      <c r="U120" s="56"/>
      <c r="V120" s="56"/>
      <c r="W120" s="56"/>
      <c r="X120" s="56"/>
      <c r="Y120" s="56"/>
      <c r="Z120" s="56"/>
      <c r="AA120" s="56"/>
    </row>
    <row r="121" spans="1:27" ht="15.75" customHeight="1" x14ac:dyDescent="0.3">
      <c r="A121" s="43"/>
      <c r="B121" s="43"/>
      <c r="C121" s="38"/>
      <c r="D121" s="38"/>
      <c r="E121" s="38"/>
      <c r="F121" s="38"/>
      <c r="G121" s="45"/>
      <c r="H121" s="83"/>
      <c r="I121" s="45"/>
      <c r="J121" s="45"/>
      <c r="K121" s="38"/>
      <c r="L121" s="56"/>
      <c r="M121" s="56"/>
      <c r="N121" s="56"/>
      <c r="O121" s="56"/>
      <c r="P121" s="56"/>
      <c r="Q121" s="56"/>
      <c r="R121" s="56"/>
      <c r="S121" s="56"/>
      <c r="T121" s="56"/>
      <c r="U121" s="56"/>
      <c r="V121" s="56"/>
      <c r="W121" s="56"/>
      <c r="X121" s="56"/>
      <c r="Y121" s="56"/>
      <c r="Z121" s="56"/>
      <c r="AA121" s="56"/>
    </row>
    <row r="122" spans="1:27" ht="15.75" customHeight="1" x14ac:dyDescent="0.3">
      <c r="A122" s="43"/>
      <c r="B122" s="43"/>
      <c r="C122" s="38"/>
      <c r="D122" s="38"/>
      <c r="E122" s="38"/>
      <c r="F122" s="38"/>
      <c r="G122" s="45"/>
      <c r="H122" s="83"/>
      <c r="I122" s="45"/>
      <c r="J122" s="45"/>
      <c r="K122" s="38"/>
      <c r="L122" s="56"/>
      <c r="M122" s="56"/>
      <c r="N122" s="56"/>
      <c r="O122" s="56"/>
      <c r="P122" s="56"/>
      <c r="Q122" s="56"/>
      <c r="R122" s="56"/>
      <c r="S122" s="56"/>
      <c r="T122" s="56"/>
      <c r="U122" s="56"/>
      <c r="V122" s="56"/>
      <c r="W122" s="56"/>
      <c r="X122" s="56"/>
      <c r="Y122" s="56"/>
      <c r="Z122" s="56"/>
      <c r="AA122" s="56"/>
    </row>
    <row r="123" spans="1:27" ht="15.75" customHeight="1" x14ac:dyDescent="0.3">
      <c r="A123" s="43"/>
      <c r="B123" s="43"/>
      <c r="C123" s="38"/>
      <c r="D123" s="38"/>
      <c r="E123" s="38"/>
      <c r="F123" s="38"/>
      <c r="G123" s="45"/>
      <c r="H123" s="83"/>
      <c r="I123" s="45"/>
      <c r="J123" s="45"/>
      <c r="K123" s="38"/>
      <c r="L123" s="56"/>
      <c r="M123" s="56"/>
      <c r="N123" s="56"/>
      <c r="O123" s="56"/>
      <c r="P123" s="56"/>
      <c r="Q123" s="56"/>
      <c r="R123" s="56"/>
      <c r="S123" s="56"/>
      <c r="T123" s="56"/>
      <c r="U123" s="56"/>
      <c r="V123" s="56"/>
      <c r="W123" s="56"/>
      <c r="X123" s="56"/>
      <c r="Y123" s="56"/>
      <c r="Z123" s="56"/>
      <c r="AA123" s="56"/>
    </row>
    <row r="124" spans="1:27" ht="15.75" customHeight="1" x14ac:dyDescent="0.3">
      <c r="A124" s="43"/>
      <c r="B124" s="43"/>
      <c r="C124" s="38"/>
      <c r="D124" s="38"/>
      <c r="E124" s="38"/>
      <c r="F124" s="38"/>
      <c r="G124" s="45"/>
      <c r="H124" s="83"/>
      <c r="I124" s="45"/>
      <c r="J124" s="45"/>
      <c r="K124" s="38"/>
      <c r="L124" s="56"/>
      <c r="M124" s="56"/>
      <c r="N124" s="56"/>
      <c r="O124" s="56"/>
      <c r="P124" s="56"/>
      <c r="Q124" s="56"/>
      <c r="R124" s="56"/>
      <c r="S124" s="56"/>
      <c r="T124" s="56"/>
      <c r="U124" s="56"/>
      <c r="V124" s="56"/>
      <c r="W124" s="56"/>
      <c r="X124" s="56"/>
      <c r="Y124" s="56"/>
      <c r="Z124" s="56"/>
      <c r="AA124" s="56"/>
    </row>
    <row r="125" spans="1:27" ht="15.75" customHeight="1" x14ac:dyDescent="0.3">
      <c r="A125" s="43"/>
      <c r="B125" s="43"/>
      <c r="C125" s="38"/>
      <c r="D125" s="38"/>
      <c r="E125" s="38"/>
      <c r="F125" s="38"/>
      <c r="G125" s="45"/>
      <c r="H125" s="83"/>
      <c r="I125" s="45"/>
      <c r="J125" s="45"/>
      <c r="K125" s="38"/>
      <c r="L125" s="56"/>
      <c r="M125" s="56"/>
      <c r="N125" s="56"/>
      <c r="O125" s="56"/>
      <c r="P125" s="56"/>
      <c r="Q125" s="56"/>
      <c r="R125" s="56"/>
      <c r="S125" s="56"/>
      <c r="T125" s="56"/>
      <c r="U125" s="56"/>
      <c r="V125" s="56"/>
      <c r="W125" s="56"/>
      <c r="X125" s="56"/>
      <c r="Y125" s="56"/>
      <c r="Z125" s="56"/>
      <c r="AA125" s="56"/>
    </row>
    <row r="126" spans="1:27" ht="15.75" customHeight="1" x14ac:dyDescent="0.3">
      <c r="A126" s="43"/>
      <c r="B126" s="43"/>
      <c r="C126" s="38"/>
      <c r="D126" s="38"/>
      <c r="E126" s="38"/>
      <c r="F126" s="38"/>
      <c r="G126" s="45"/>
      <c r="H126" s="83"/>
      <c r="I126" s="45"/>
      <c r="J126" s="45"/>
      <c r="K126" s="38"/>
      <c r="L126" s="56"/>
      <c r="M126" s="56"/>
      <c r="N126" s="56"/>
      <c r="O126" s="56"/>
      <c r="P126" s="56"/>
      <c r="Q126" s="56"/>
      <c r="R126" s="56"/>
      <c r="S126" s="56"/>
      <c r="T126" s="56"/>
      <c r="U126" s="56"/>
      <c r="V126" s="56"/>
      <c r="W126" s="56"/>
      <c r="X126" s="56"/>
      <c r="Y126" s="56"/>
      <c r="Z126" s="56"/>
      <c r="AA126" s="56"/>
    </row>
    <row r="127" spans="1:27" ht="15.75" customHeight="1" x14ac:dyDescent="0.3">
      <c r="A127" s="43"/>
      <c r="B127" s="43"/>
      <c r="C127" s="38"/>
      <c r="D127" s="38"/>
      <c r="E127" s="38"/>
      <c r="F127" s="38"/>
      <c r="G127" s="45"/>
      <c r="H127" s="83"/>
      <c r="I127" s="45"/>
      <c r="J127" s="45"/>
      <c r="K127" s="38"/>
      <c r="L127" s="56"/>
      <c r="M127" s="56"/>
      <c r="N127" s="56"/>
      <c r="O127" s="56"/>
      <c r="P127" s="56"/>
      <c r="Q127" s="56"/>
      <c r="R127" s="56"/>
      <c r="S127" s="56"/>
      <c r="T127" s="56"/>
      <c r="U127" s="56"/>
      <c r="V127" s="56"/>
      <c r="W127" s="56"/>
      <c r="X127" s="56"/>
      <c r="Y127" s="56"/>
      <c r="Z127" s="56"/>
      <c r="AA127" s="56"/>
    </row>
    <row r="128" spans="1:27" ht="15.75" customHeight="1" x14ac:dyDescent="0.3">
      <c r="A128" s="43"/>
      <c r="B128" s="43"/>
      <c r="C128" s="38"/>
      <c r="D128" s="38"/>
      <c r="E128" s="38"/>
      <c r="F128" s="38"/>
      <c r="G128" s="45"/>
      <c r="H128" s="83"/>
      <c r="I128" s="45"/>
      <c r="J128" s="45"/>
      <c r="K128" s="38"/>
      <c r="L128" s="56"/>
      <c r="M128" s="56"/>
      <c r="N128" s="56"/>
      <c r="O128" s="56"/>
      <c r="P128" s="56"/>
      <c r="Q128" s="56"/>
      <c r="R128" s="56"/>
      <c r="S128" s="56"/>
      <c r="T128" s="56"/>
      <c r="U128" s="56"/>
      <c r="V128" s="56"/>
      <c r="W128" s="56"/>
      <c r="X128" s="56"/>
      <c r="Y128" s="56"/>
      <c r="Z128" s="56"/>
      <c r="AA128" s="56"/>
    </row>
    <row r="129" spans="1:27" ht="15.75" customHeight="1" x14ac:dyDescent="0.3">
      <c r="A129" s="43"/>
      <c r="B129" s="43"/>
      <c r="C129" s="38"/>
      <c r="D129" s="38"/>
      <c r="E129" s="38"/>
      <c r="F129" s="38"/>
      <c r="G129" s="45"/>
      <c r="H129" s="83"/>
      <c r="I129" s="45"/>
      <c r="J129" s="45"/>
      <c r="K129" s="38"/>
      <c r="L129" s="56"/>
      <c r="M129" s="56"/>
      <c r="N129" s="56"/>
      <c r="O129" s="56"/>
      <c r="P129" s="56"/>
      <c r="Q129" s="56"/>
      <c r="R129" s="56"/>
      <c r="S129" s="56"/>
      <c r="T129" s="56"/>
      <c r="U129" s="56"/>
      <c r="V129" s="56"/>
      <c r="W129" s="56"/>
      <c r="X129" s="56"/>
      <c r="Y129" s="56"/>
      <c r="Z129" s="56"/>
      <c r="AA129" s="56"/>
    </row>
    <row r="130" spans="1:27" ht="15.75" customHeight="1" x14ac:dyDescent="0.3">
      <c r="A130" s="43"/>
      <c r="B130" s="43"/>
      <c r="C130" s="38"/>
      <c r="D130" s="38"/>
      <c r="E130" s="38"/>
      <c r="F130" s="38"/>
      <c r="G130" s="45"/>
      <c r="H130" s="83"/>
      <c r="I130" s="45"/>
      <c r="J130" s="45"/>
      <c r="K130" s="38"/>
      <c r="L130" s="56"/>
      <c r="M130" s="56"/>
      <c r="N130" s="56"/>
      <c r="O130" s="56"/>
      <c r="P130" s="56"/>
      <c r="Q130" s="56"/>
      <c r="R130" s="56"/>
      <c r="S130" s="56"/>
      <c r="T130" s="56"/>
      <c r="U130" s="56"/>
      <c r="V130" s="56"/>
      <c r="W130" s="56"/>
      <c r="X130" s="56"/>
      <c r="Y130" s="56"/>
      <c r="Z130" s="56"/>
      <c r="AA130" s="56"/>
    </row>
    <row r="131" spans="1:27" ht="15.75" customHeight="1" x14ac:dyDescent="0.3">
      <c r="A131" s="43"/>
      <c r="B131" s="43"/>
      <c r="C131" s="38"/>
      <c r="D131" s="38"/>
      <c r="E131" s="38"/>
      <c r="F131" s="38"/>
      <c r="G131" s="45"/>
      <c r="H131" s="83"/>
      <c r="I131" s="45"/>
      <c r="J131" s="45"/>
      <c r="K131" s="38"/>
      <c r="L131" s="56"/>
      <c r="M131" s="56"/>
      <c r="N131" s="56"/>
      <c r="O131" s="56"/>
      <c r="P131" s="56"/>
      <c r="Q131" s="56"/>
      <c r="R131" s="56"/>
      <c r="S131" s="56"/>
      <c r="T131" s="56"/>
      <c r="U131" s="56"/>
      <c r="V131" s="56"/>
      <c r="W131" s="56"/>
      <c r="X131" s="56"/>
      <c r="Y131" s="56"/>
      <c r="Z131" s="56"/>
      <c r="AA131" s="56"/>
    </row>
    <row r="132" spans="1:27" ht="15.75" customHeight="1" x14ac:dyDescent="0.3">
      <c r="A132" s="43"/>
      <c r="B132" s="43"/>
      <c r="C132" s="38"/>
      <c r="D132" s="38"/>
      <c r="E132" s="38"/>
      <c r="F132" s="38"/>
      <c r="G132" s="45"/>
      <c r="H132" s="83"/>
      <c r="I132" s="45"/>
      <c r="J132" s="45"/>
      <c r="K132" s="38"/>
      <c r="L132" s="56"/>
      <c r="M132" s="56"/>
      <c r="N132" s="56"/>
      <c r="O132" s="56"/>
      <c r="P132" s="56"/>
      <c r="Q132" s="56"/>
      <c r="R132" s="56"/>
      <c r="S132" s="56"/>
      <c r="T132" s="56"/>
      <c r="U132" s="56"/>
      <c r="V132" s="56"/>
      <c r="W132" s="56"/>
      <c r="X132" s="56"/>
      <c r="Y132" s="56"/>
      <c r="Z132" s="56"/>
      <c r="AA132" s="56"/>
    </row>
    <row r="133" spans="1:27" ht="15.75" customHeight="1" x14ac:dyDescent="0.3">
      <c r="A133" s="43"/>
      <c r="B133" s="43"/>
      <c r="C133" s="38"/>
      <c r="D133" s="38"/>
      <c r="E133" s="38"/>
      <c r="F133" s="38"/>
      <c r="G133" s="45"/>
      <c r="H133" s="83"/>
      <c r="I133" s="45"/>
      <c r="J133" s="45"/>
      <c r="K133" s="38"/>
      <c r="L133" s="56"/>
      <c r="M133" s="56"/>
      <c r="N133" s="56"/>
      <c r="O133" s="56"/>
      <c r="P133" s="56"/>
      <c r="Q133" s="56"/>
      <c r="R133" s="56"/>
      <c r="S133" s="56"/>
      <c r="T133" s="56"/>
      <c r="U133" s="56"/>
      <c r="V133" s="56"/>
      <c r="W133" s="56"/>
      <c r="X133" s="56"/>
      <c r="Y133" s="56"/>
      <c r="Z133" s="56"/>
      <c r="AA133" s="56"/>
    </row>
    <row r="134" spans="1:27" ht="15.75" customHeight="1" x14ac:dyDescent="0.3">
      <c r="A134" s="43"/>
      <c r="B134" s="43"/>
      <c r="C134" s="38"/>
      <c r="D134" s="38"/>
      <c r="E134" s="38"/>
      <c r="F134" s="38"/>
      <c r="G134" s="45"/>
      <c r="H134" s="83"/>
      <c r="I134" s="45"/>
      <c r="J134" s="45"/>
      <c r="K134" s="38"/>
      <c r="L134" s="56"/>
      <c r="M134" s="56"/>
      <c r="N134" s="56"/>
      <c r="O134" s="56"/>
      <c r="P134" s="56"/>
      <c r="Q134" s="56"/>
      <c r="R134" s="56"/>
      <c r="S134" s="56"/>
      <c r="T134" s="56"/>
      <c r="U134" s="56"/>
      <c r="V134" s="56"/>
      <c r="W134" s="56"/>
      <c r="X134" s="56"/>
      <c r="Y134" s="56"/>
      <c r="Z134" s="56"/>
      <c r="AA134" s="56"/>
    </row>
    <row r="135" spans="1:27" ht="15.75" customHeight="1" x14ac:dyDescent="0.3">
      <c r="A135" s="43"/>
      <c r="B135" s="43"/>
      <c r="C135" s="38"/>
      <c r="D135" s="38"/>
      <c r="E135" s="38"/>
      <c r="F135" s="38"/>
      <c r="G135" s="45"/>
      <c r="H135" s="83"/>
      <c r="I135" s="45"/>
      <c r="J135" s="45"/>
      <c r="K135" s="38"/>
      <c r="L135" s="56"/>
      <c r="M135" s="56"/>
      <c r="N135" s="56"/>
      <c r="O135" s="56"/>
      <c r="P135" s="56"/>
      <c r="Q135" s="56"/>
      <c r="R135" s="56"/>
      <c r="S135" s="56"/>
      <c r="T135" s="56"/>
      <c r="U135" s="56"/>
      <c r="V135" s="56"/>
      <c r="W135" s="56"/>
      <c r="X135" s="56"/>
      <c r="Y135" s="56"/>
      <c r="Z135" s="56"/>
      <c r="AA135" s="56"/>
    </row>
    <row r="136" spans="1:27" ht="15.75" customHeight="1" x14ac:dyDescent="0.3">
      <c r="A136" s="43"/>
      <c r="B136" s="43"/>
      <c r="C136" s="38"/>
      <c r="D136" s="38"/>
      <c r="E136" s="38"/>
      <c r="F136" s="38"/>
      <c r="G136" s="45"/>
      <c r="H136" s="83"/>
      <c r="I136" s="45"/>
      <c r="J136" s="45"/>
      <c r="K136" s="38"/>
      <c r="L136" s="56"/>
      <c r="M136" s="56"/>
      <c r="N136" s="56"/>
      <c r="O136" s="56"/>
      <c r="P136" s="56"/>
      <c r="Q136" s="56"/>
      <c r="R136" s="56"/>
      <c r="S136" s="56"/>
      <c r="T136" s="56"/>
      <c r="U136" s="56"/>
      <c r="V136" s="56"/>
      <c r="W136" s="56"/>
      <c r="X136" s="56"/>
      <c r="Y136" s="56"/>
      <c r="Z136" s="56"/>
      <c r="AA136" s="56"/>
    </row>
    <row r="137" spans="1:27" ht="15.75" customHeight="1" x14ac:dyDescent="0.3">
      <c r="A137" s="43"/>
      <c r="B137" s="43"/>
      <c r="C137" s="38"/>
      <c r="D137" s="38"/>
      <c r="E137" s="38"/>
      <c r="F137" s="38"/>
      <c r="G137" s="45"/>
      <c r="H137" s="83"/>
      <c r="I137" s="45"/>
      <c r="J137" s="45"/>
      <c r="K137" s="38"/>
      <c r="L137" s="56"/>
      <c r="M137" s="56"/>
      <c r="N137" s="56"/>
      <c r="O137" s="56"/>
      <c r="P137" s="56"/>
      <c r="Q137" s="56"/>
      <c r="R137" s="56"/>
      <c r="S137" s="56"/>
      <c r="T137" s="56"/>
      <c r="U137" s="56"/>
      <c r="V137" s="56"/>
      <c r="W137" s="56"/>
      <c r="X137" s="56"/>
      <c r="Y137" s="56"/>
      <c r="Z137" s="56"/>
      <c r="AA137" s="56"/>
    </row>
    <row r="138" spans="1:27" ht="15.75" customHeight="1" x14ac:dyDescent="0.3">
      <c r="A138" s="43"/>
      <c r="B138" s="43"/>
      <c r="C138" s="38"/>
      <c r="D138" s="38"/>
      <c r="E138" s="38"/>
      <c r="F138" s="38"/>
      <c r="G138" s="45"/>
      <c r="H138" s="83"/>
      <c r="I138" s="45"/>
      <c r="J138" s="45"/>
      <c r="K138" s="38"/>
      <c r="L138" s="56"/>
      <c r="M138" s="56"/>
      <c r="N138" s="56"/>
      <c r="O138" s="56"/>
      <c r="P138" s="56"/>
      <c r="Q138" s="56"/>
      <c r="R138" s="56"/>
      <c r="S138" s="56"/>
      <c r="T138" s="56"/>
      <c r="U138" s="56"/>
      <c r="V138" s="56"/>
      <c r="W138" s="56"/>
      <c r="X138" s="56"/>
      <c r="Y138" s="56"/>
      <c r="Z138" s="56"/>
      <c r="AA138" s="56"/>
    </row>
    <row r="139" spans="1:27" ht="15.75" customHeight="1" x14ac:dyDescent="0.3">
      <c r="A139" s="43"/>
      <c r="B139" s="43"/>
      <c r="C139" s="38"/>
      <c r="D139" s="38"/>
      <c r="E139" s="38"/>
      <c r="F139" s="38"/>
      <c r="G139" s="45"/>
      <c r="H139" s="83"/>
      <c r="I139" s="45"/>
      <c r="J139" s="45"/>
      <c r="K139" s="38"/>
      <c r="L139" s="56"/>
      <c r="M139" s="56"/>
      <c r="N139" s="56"/>
      <c r="O139" s="56"/>
      <c r="P139" s="56"/>
      <c r="Q139" s="56"/>
      <c r="R139" s="56"/>
      <c r="S139" s="56"/>
      <c r="T139" s="56"/>
      <c r="U139" s="56"/>
      <c r="V139" s="56"/>
      <c r="W139" s="56"/>
      <c r="X139" s="56"/>
      <c r="Y139" s="56"/>
      <c r="Z139" s="56"/>
      <c r="AA139" s="56"/>
    </row>
    <row r="140" spans="1:27" ht="15.75" customHeight="1" x14ac:dyDescent="0.3">
      <c r="A140" s="43"/>
      <c r="B140" s="43"/>
      <c r="C140" s="38"/>
      <c r="D140" s="38"/>
      <c r="E140" s="38"/>
      <c r="F140" s="38"/>
      <c r="G140" s="45"/>
      <c r="H140" s="83"/>
      <c r="I140" s="45"/>
      <c r="J140" s="45"/>
      <c r="K140" s="38"/>
      <c r="L140" s="56"/>
      <c r="M140" s="56"/>
      <c r="N140" s="56"/>
      <c r="O140" s="56"/>
      <c r="P140" s="56"/>
      <c r="Q140" s="56"/>
      <c r="R140" s="56"/>
      <c r="S140" s="56"/>
      <c r="T140" s="56"/>
      <c r="U140" s="56"/>
      <c r="V140" s="56"/>
      <c r="W140" s="56"/>
      <c r="X140" s="56"/>
      <c r="Y140" s="56"/>
      <c r="Z140" s="56"/>
      <c r="AA140" s="56"/>
    </row>
    <row r="141" spans="1:27" ht="15.75" customHeight="1" x14ac:dyDescent="0.3">
      <c r="A141" s="43"/>
      <c r="B141" s="43"/>
      <c r="C141" s="38"/>
      <c r="D141" s="38"/>
      <c r="E141" s="38"/>
      <c r="F141" s="38"/>
      <c r="G141" s="45"/>
      <c r="H141" s="83"/>
      <c r="I141" s="45"/>
      <c r="J141" s="45"/>
      <c r="K141" s="38"/>
      <c r="L141" s="56"/>
      <c r="M141" s="56"/>
      <c r="N141" s="56"/>
      <c r="O141" s="56"/>
      <c r="P141" s="56"/>
      <c r="Q141" s="56"/>
      <c r="R141" s="56"/>
      <c r="S141" s="56"/>
      <c r="T141" s="56"/>
      <c r="U141" s="56"/>
      <c r="V141" s="56"/>
      <c r="W141" s="56"/>
      <c r="X141" s="56"/>
      <c r="Y141" s="56"/>
      <c r="Z141" s="56"/>
      <c r="AA141" s="56"/>
    </row>
    <row r="142" spans="1:27" ht="15.75" customHeight="1" x14ac:dyDescent="0.3">
      <c r="A142" s="43"/>
      <c r="B142" s="43"/>
      <c r="C142" s="38"/>
      <c r="D142" s="38"/>
      <c r="E142" s="38"/>
      <c r="F142" s="38"/>
      <c r="G142" s="45"/>
      <c r="H142" s="83"/>
      <c r="I142" s="45"/>
      <c r="J142" s="45"/>
      <c r="K142" s="38"/>
      <c r="L142" s="56"/>
      <c r="M142" s="56"/>
      <c r="N142" s="56"/>
      <c r="O142" s="56"/>
      <c r="P142" s="56"/>
      <c r="Q142" s="56"/>
      <c r="R142" s="56"/>
      <c r="S142" s="56"/>
      <c r="T142" s="56"/>
      <c r="U142" s="56"/>
      <c r="V142" s="56"/>
      <c r="W142" s="56"/>
      <c r="X142" s="56"/>
      <c r="Y142" s="56"/>
      <c r="Z142" s="56"/>
      <c r="AA142" s="56"/>
    </row>
    <row r="143" spans="1:27" ht="15.75" customHeight="1" x14ac:dyDescent="0.3">
      <c r="A143" s="43"/>
      <c r="B143" s="43"/>
      <c r="C143" s="38"/>
      <c r="D143" s="38"/>
      <c r="E143" s="38"/>
      <c r="F143" s="38"/>
      <c r="G143" s="45"/>
      <c r="H143" s="83"/>
      <c r="I143" s="45"/>
      <c r="J143" s="45"/>
      <c r="K143" s="38"/>
      <c r="L143" s="56"/>
      <c r="M143" s="56"/>
      <c r="N143" s="56"/>
      <c r="O143" s="56"/>
      <c r="P143" s="56"/>
      <c r="Q143" s="56"/>
      <c r="R143" s="56"/>
      <c r="S143" s="56"/>
      <c r="T143" s="56"/>
      <c r="U143" s="56"/>
      <c r="V143" s="56"/>
      <c r="W143" s="56"/>
      <c r="X143" s="56"/>
      <c r="Y143" s="56"/>
      <c r="Z143" s="56"/>
      <c r="AA143" s="56"/>
    </row>
    <row r="144" spans="1:27" ht="15.75" customHeight="1" x14ac:dyDescent="0.3">
      <c r="A144" s="43"/>
      <c r="B144" s="43"/>
      <c r="C144" s="38"/>
      <c r="D144" s="38"/>
      <c r="E144" s="38"/>
      <c r="F144" s="38"/>
      <c r="G144" s="45"/>
      <c r="H144" s="83"/>
      <c r="I144" s="45"/>
      <c r="J144" s="45"/>
      <c r="K144" s="38"/>
      <c r="L144" s="56"/>
      <c r="M144" s="56"/>
      <c r="N144" s="56"/>
      <c r="O144" s="56"/>
      <c r="P144" s="56"/>
      <c r="Q144" s="56"/>
      <c r="R144" s="56"/>
      <c r="S144" s="56"/>
      <c r="T144" s="56"/>
      <c r="U144" s="56"/>
      <c r="V144" s="56"/>
      <c r="W144" s="56"/>
      <c r="X144" s="56"/>
      <c r="Y144" s="56"/>
      <c r="Z144" s="56"/>
      <c r="AA144" s="56"/>
    </row>
    <row r="145" spans="1:27" ht="15.75" customHeight="1" x14ac:dyDescent="0.3">
      <c r="A145" s="43"/>
      <c r="B145" s="43"/>
      <c r="C145" s="38"/>
      <c r="D145" s="38"/>
      <c r="E145" s="38"/>
      <c r="F145" s="38"/>
      <c r="G145" s="45"/>
      <c r="H145" s="83"/>
      <c r="I145" s="45"/>
      <c r="J145" s="45"/>
      <c r="K145" s="38"/>
      <c r="L145" s="56"/>
      <c r="M145" s="56"/>
      <c r="N145" s="56"/>
      <c r="O145" s="56"/>
      <c r="P145" s="56"/>
      <c r="Q145" s="56"/>
      <c r="R145" s="56"/>
      <c r="S145" s="56"/>
      <c r="T145" s="56"/>
      <c r="U145" s="56"/>
      <c r="V145" s="56"/>
      <c r="W145" s="56"/>
      <c r="X145" s="56"/>
      <c r="Y145" s="56"/>
      <c r="Z145" s="56"/>
      <c r="AA145" s="56"/>
    </row>
    <row r="146" spans="1:27" ht="15.75" customHeight="1" x14ac:dyDescent="0.3">
      <c r="A146" s="43"/>
      <c r="B146" s="43"/>
      <c r="C146" s="38"/>
      <c r="D146" s="38"/>
      <c r="E146" s="38"/>
      <c r="F146" s="38"/>
      <c r="G146" s="45"/>
      <c r="H146" s="83"/>
      <c r="I146" s="45"/>
      <c r="J146" s="45"/>
      <c r="K146" s="38"/>
      <c r="L146" s="56"/>
      <c r="M146" s="56"/>
      <c r="N146" s="56"/>
      <c r="O146" s="56"/>
      <c r="P146" s="56"/>
      <c r="Q146" s="56"/>
      <c r="R146" s="56"/>
      <c r="S146" s="56"/>
      <c r="T146" s="56"/>
      <c r="U146" s="56"/>
      <c r="V146" s="56"/>
      <c r="W146" s="56"/>
      <c r="X146" s="56"/>
      <c r="Y146" s="56"/>
      <c r="Z146" s="56"/>
      <c r="AA146" s="56"/>
    </row>
    <row r="147" spans="1:27" ht="15.75" customHeight="1" x14ac:dyDescent="0.3">
      <c r="A147" s="43"/>
      <c r="B147" s="43"/>
      <c r="C147" s="38"/>
      <c r="D147" s="38"/>
      <c r="E147" s="38"/>
      <c r="F147" s="38"/>
      <c r="G147" s="45"/>
      <c r="H147" s="83"/>
      <c r="I147" s="45"/>
      <c r="J147" s="45"/>
      <c r="K147" s="38"/>
      <c r="L147" s="56"/>
      <c r="M147" s="56"/>
      <c r="N147" s="56"/>
      <c r="O147" s="56"/>
      <c r="P147" s="56"/>
      <c r="Q147" s="56"/>
      <c r="R147" s="56"/>
      <c r="S147" s="56"/>
      <c r="T147" s="56"/>
      <c r="U147" s="56"/>
      <c r="V147" s="56"/>
      <c r="W147" s="56"/>
      <c r="X147" s="56"/>
      <c r="Y147" s="56"/>
      <c r="Z147" s="56"/>
      <c r="AA147" s="56"/>
    </row>
    <row r="148" spans="1:27" ht="15.75" customHeight="1" x14ac:dyDescent="0.3">
      <c r="A148" s="43"/>
      <c r="B148" s="43"/>
      <c r="C148" s="38"/>
      <c r="D148" s="38"/>
      <c r="E148" s="38"/>
      <c r="F148" s="38"/>
      <c r="G148" s="45"/>
      <c r="H148" s="83"/>
      <c r="I148" s="45"/>
      <c r="J148" s="45"/>
      <c r="K148" s="38"/>
      <c r="L148" s="56"/>
      <c r="M148" s="56"/>
      <c r="N148" s="56"/>
      <c r="O148" s="56"/>
      <c r="P148" s="56"/>
      <c r="Q148" s="56"/>
      <c r="R148" s="56"/>
      <c r="S148" s="56"/>
      <c r="T148" s="56"/>
      <c r="U148" s="56"/>
      <c r="V148" s="56"/>
      <c r="W148" s="56"/>
      <c r="X148" s="56"/>
      <c r="Y148" s="56"/>
      <c r="Z148" s="56"/>
      <c r="AA148" s="56"/>
    </row>
    <row r="149" spans="1:27" ht="15.75" customHeight="1" x14ac:dyDescent="0.3">
      <c r="A149" s="43"/>
      <c r="B149" s="43"/>
      <c r="C149" s="38"/>
      <c r="D149" s="38"/>
      <c r="E149" s="38"/>
      <c r="F149" s="38"/>
      <c r="G149" s="45"/>
      <c r="H149" s="83"/>
      <c r="I149" s="45"/>
      <c r="J149" s="45"/>
      <c r="K149" s="38"/>
      <c r="L149" s="56"/>
      <c r="M149" s="56"/>
      <c r="N149" s="56"/>
      <c r="O149" s="56"/>
      <c r="P149" s="56"/>
      <c r="Q149" s="56"/>
      <c r="R149" s="56"/>
      <c r="S149" s="56"/>
      <c r="T149" s="56"/>
      <c r="U149" s="56"/>
      <c r="V149" s="56"/>
      <c r="W149" s="56"/>
      <c r="X149" s="56"/>
      <c r="Y149" s="56"/>
      <c r="Z149" s="56"/>
      <c r="AA149" s="56"/>
    </row>
    <row r="150" spans="1:27" ht="15.75" customHeight="1" x14ac:dyDescent="0.3">
      <c r="A150" s="43"/>
      <c r="B150" s="43"/>
      <c r="C150" s="38"/>
      <c r="D150" s="38"/>
      <c r="E150" s="38"/>
      <c r="F150" s="38"/>
      <c r="G150" s="45"/>
      <c r="H150" s="83"/>
      <c r="I150" s="45"/>
      <c r="J150" s="45"/>
      <c r="K150" s="38"/>
      <c r="L150" s="56"/>
      <c r="M150" s="56"/>
      <c r="N150" s="56"/>
      <c r="O150" s="56"/>
      <c r="P150" s="56"/>
      <c r="Q150" s="56"/>
      <c r="R150" s="56"/>
      <c r="S150" s="56"/>
      <c r="T150" s="56"/>
      <c r="U150" s="56"/>
      <c r="V150" s="56"/>
      <c r="W150" s="56"/>
      <c r="X150" s="56"/>
      <c r="Y150" s="56"/>
      <c r="Z150" s="56"/>
      <c r="AA150" s="56"/>
    </row>
    <row r="151" spans="1:27" ht="15.75" customHeight="1" x14ac:dyDescent="0.3">
      <c r="A151" s="43"/>
      <c r="B151" s="43"/>
      <c r="C151" s="38"/>
      <c r="D151" s="38"/>
      <c r="E151" s="38"/>
      <c r="F151" s="38"/>
      <c r="G151" s="45"/>
      <c r="H151" s="83"/>
      <c r="I151" s="45"/>
      <c r="J151" s="45"/>
      <c r="K151" s="38"/>
      <c r="L151" s="56"/>
      <c r="M151" s="56"/>
      <c r="N151" s="56"/>
      <c r="O151" s="56"/>
      <c r="P151" s="56"/>
      <c r="Q151" s="56"/>
      <c r="R151" s="56"/>
      <c r="S151" s="56"/>
      <c r="T151" s="56"/>
      <c r="U151" s="56"/>
      <c r="V151" s="56"/>
      <c r="W151" s="56"/>
      <c r="X151" s="56"/>
      <c r="Y151" s="56"/>
      <c r="Z151" s="56"/>
      <c r="AA151" s="56"/>
    </row>
    <row r="152" spans="1:27" ht="15.75" customHeight="1" x14ac:dyDescent="0.3">
      <c r="A152" s="43"/>
      <c r="B152" s="43"/>
      <c r="C152" s="38"/>
      <c r="D152" s="38"/>
      <c r="E152" s="38"/>
      <c r="F152" s="38"/>
      <c r="G152" s="45"/>
      <c r="H152" s="83"/>
      <c r="I152" s="45"/>
      <c r="J152" s="45"/>
      <c r="K152" s="38"/>
      <c r="L152" s="56"/>
      <c r="M152" s="56"/>
      <c r="N152" s="56"/>
      <c r="O152" s="56"/>
      <c r="P152" s="56"/>
      <c r="Q152" s="56"/>
      <c r="R152" s="56"/>
      <c r="S152" s="56"/>
      <c r="T152" s="56"/>
      <c r="U152" s="56"/>
      <c r="V152" s="56"/>
      <c r="W152" s="56"/>
      <c r="X152" s="56"/>
      <c r="Y152" s="56"/>
      <c r="Z152" s="56"/>
      <c r="AA152" s="56"/>
    </row>
    <row r="153" spans="1:27" ht="15.75" customHeight="1" x14ac:dyDescent="0.3">
      <c r="A153" s="43"/>
      <c r="B153" s="43"/>
      <c r="C153" s="38"/>
      <c r="D153" s="38"/>
      <c r="E153" s="38"/>
      <c r="F153" s="38"/>
      <c r="G153" s="45"/>
      <c r="H153" s="83"/>
      <c r="I153" s="45"/>
      <c r="J153" s="45"/>
      <c r="K153" s="38"/>
      <c r="L153" s="56"/>
      <c r="M153" s="56"/>
      <c r="N153" s="56"/>
      <c r="O153" s="56"/>
      <c r="P153" s="56"/>
      <c r="Q153" s="56"/>
      <c r="R153" s="56"/>
      <c r="S153" s="56"/>
      <c r="T153" s="56"/>
      <c r="U153" s="56"/>
      <c r="V153" s="56"/>
      <c r="W153" s="56"/>
      <c r="X153" s="56"/>
      <c r="Y153" s="56"/>
      <c r="Z153" s="56"/>
      <c r="AA153" s="56"/>
    </row>
    <row r="154" spans="1:27" ht="15.75" customHeight="1" x14ac:dyDescent="0.3">
      <c r="A154" s="43"/>
      <c r="B154" s="43"/>
      <c r="C154" s="38"/>
      <c r="D154" s="38"/>
      <c r="E154" s="38"/>
      <c r="F154" s="38"/>
      <c r="G154" s="45"/>
      <c r="H154" s="83"/>
      <c r="I154" s="45"/>
      <c r="J154" s="45"/>
      <c r="K154" s="38"/>
      <c r="L154" s="56"/>
      <c r="M154" s="56"/>
      <c r="N154" s="56"/>
      <c r="O154" s="56"/>
      <c r="P154" s="56"/>
      <c r="Q154" s="56"/>
      <c r="R154" s="56"/>
      <c r="S154" s="56"/>
      <c r="T154" s="56"/>
      <c r="U154" s="56"/>
      <c r="V154" s="56"/>
      <c r="W154" s="56"/>
      <c r="X154" s="56"/>
      <c r="Y154" s="56"/>
      <c r="Z154" s="56"/>
      <c r="AA154" s="56"/>
    </row>
    <row r="155" spans="1:27" ht="15.75" customHeight="1" x14ac:dyDescent="0.3">
      <c r="A155" s="43"/>
      <c r="B155" s="43"/>
      <c r="C155" s="38"/>
      <c r="D155" s="38"/>
      <c r="E155" s="38"/>
      <c r="F155" s="38"/>
      <c r="G155" s="45"/>
      <c r="H155" s="83"/>
      <c r="I155" s="45"/>
      <c r="J155" s="45"/>
      <c r="K155" s="38"/>
      <c r="L155" s="56"/>
      <c r="M155" s="56"/>
      <c r="N155" s="56"/>
      <c r="O155" s="56"/>
      <c r="P155" s="56"/>
      <c r="Q155" s="56"/>
      <c r="R155" s="56"/>
      <c r="S155" s="56"/>
      <c r="T155" s="56"/>
      <c r="U155" s="56"/>
      <c r="V155" s="56"/>
      <c r="W155" s="56"/>
      <c r="X155" s="56"/>
      <c r="Y155" s="56"/>
      <c r="Z155" s="56"/>
      <c r="AA155" s="56"/>
    </row>
    <row r="156" spans="1:27" ht="15.75" customHeight="1" x14ac:dyDescent="0.3">
      <c r="A156" s="43"/>
      <c r="B156" s="43"/>
      <c r="C156" s="38"/>
      <c r="D156" s="38"/>
      <c r="E156" s="38"/>
      <c r="F156" s="38"/>
      <c r="G156" s="45"/>
      <c r="H156" s="83"/>
      <c r="I156" s="45"/>
      <c r="J156" s="45"/>
      <c r="K156" s="38"/>
      <c r="L156" s="56"/>
      <c r="M156" s="56"/>
      <c r="N156" s="56"/>
      <c r="O156" s="56"/>
      <c r="P156" s="56"/>
      <c r="Q156" s="56"/>
      <c r="R156" s="56"/>
      <c r="S156" s="56"/>
      <c r="T156" s="56"/>
      <c r="U156" s="56"/>
      <c r="V156" s="56"/>
      <c r="W156" s="56"/>
      <c r="X156" s="56"/>
      <c r="Y156" s="56"/>
      <c r="Z156" s="56"/>
      <c r="AA156" s="56"/>
    </row>
    <row r="157" spans="1:27" ht="15.75" customHeight="1" x14ac:dyDescent="0.3">
      <c r="A157" s="43"/>
      <c r="B157" s="43"/>
      <c r="C157" s="38"/>
      <c r="D157" s="38"/>
      <c r="E157" s="38"/>
      <c r="F157" s="38"/>
      <c r="G157" s="45"/>
      <c r="H157" s="83"/>
      <c r="I157" s="45"/>
      <c r="J157" s="45"/>
      <c r="K157" s="38"/>
      <c r="L157" s="56"/>
      <c r="M157" s="56"/>
      <c r="N157" s="56"/>
      <c r="O157" s="56"/>
      <c r="P157" s="56"/>
      <c r="Q157" s="56"/>
      <c r="R157" s="56"/>
      <c r="S157" s="56"/>
      <c r="T157" s="56"/>
      <c r="U157" s="56"/>
      <c r="V157" s="56"/>
      <c r="W157" s="56"/>
      <c r="X157" s="56"/>
      <c r="Y157" s="56"/>
      <c r="Z157" s="56"/>
      <c r="AA157" s="56"/>
    </row>
    <row r="158" spans="1:27" ht="15.75" customHeight="1" x14ac:dyDescent="0.3">
      <c r="A158" s="43"/>
      <c r="B158" s="43"/>
      <c r="C158" s="38"/>
      <c r="D158" s="38"/>
      <c r="E158" s="38"/>
      <c r="F158" s="38"/>
      <c r="G158" s="45"/>
      <c r="H158" s="83"/>
      <c r="I158" s="45"/>
      <c r="J158" s="45"/>
      <c r="K158" s="38"/>
      <c r="L158" s="56"/>
      <c r="M158" s="56"/>
      <c r="N158" s="56"/>
      <c r="O158" s="56"/>
      <c r="P158" s="56"/>
      <c r="Q158" s="56"/>
      <c r="R158" s="56"/>
      <c r="S158" s="56"/>
      <c r="T158" s="56"/>
      <c r="U158" s="56"/>
      <c r="V158" s="56"/>
      <c r="W158" s="56"/>
      <c r="X158" s="56"/>
      <c r="Y158" s="56"/>
      <c r="Z158" s="56"/>
      <c r="AA158" s="56"/>
    </row>
    <row r="159" spans="1:27" ht="15.75" customHeight="1" x14ac:dyDescent="0.3">
      <c r="A159" s="43"/>
      <c r="B159" s="43"/>
      <c r="C159" s="38"/>
      <c r="D159" s="38"/>
      <c r="E159" s="38"/>
      <c r="F159" s="38"/>
      <c r="G159" s="45"/>
      <c r="H159" s="83"/>
      <c r="I159" s="45"/>
      <c r="J159" s="45"/>
      <c r="K159" s="38"/>
      <c r="L159" s="56"/>
      <c r="M159" s="56"/>
      <c r="N159" s="56"/>
      <c r="O159" s="56"/>
      <c r="P159" s="56"/>
      <c r="Q159" s="56"/>
      <c r="R159" s="56"/>
      <c r="S159" s="56"/>
      <c r="T159" s="56"/>
      <c r="U159" s="56"/>
      <c r="V159" s="56"/>
      <c r="W159" s="56"/>
      <c r="X159" s="56"/>
      <c r="Y159" s="56"/>
      <c r="Z159" s="56"/>
      <c r="AA159" s="56"/>
    </row>
    <row r="160" spans="1:27" ht="15.75" customHeight="1" x14ac:dyDescent="0.3">
      <c r="A160" s="43"/>
      <c r="B160" s="43"/>
      <c r="C160" s="38"/>
      <c r="D160" s="38"/>
      <c r="E160" s="38"/>
      <c r="F160" s="38"/>
      <c r="G160" s="45"/>
      <c r="H160" s="83"/>
      <c r="I160" s="45"/>
      <c r="J160" s="45"/>
      <c r="K160" s="38"/>
      <c r="L160" s="56"/>
      <c r="M160" s="56"/>
      <c r="N160" s="56"/>
      <c r="O160" s="56"/>
      <c r="P160" s="56"/>
      <c r="Q160" s="56"/>
      <c r="R160" s="56"/>
      <c r="S160" s="56"/>
      <c r="T160" s="56"/>
      <c r="U160" s="56"/>
      <c r="V160" s="56"/>
      <c r="W160" s="56"/>
      <c r="X160" s="56"/>
      <c r="Y160" s="56"/>
      <c r="Z160" s="56"/>
      <c r="AA160" s="56"/>
    </row>
    <row r="161" spans="1:27" ht="15.75" customHeight="1" x14ac:dyDescent="0.3">
      <c r="A161" s="43"/>
      <c r="B161" s="43"/>
      <c r="C161" s="38"/>
      <c r="D161" s="38"/>
      <c r="E161" s="38"/>
      <c r="F161" s="38"/>
      <c r="G161" s="45"/>
      <c r="H161" s="83"/>
      <c r="I161" s="45"/>
      <c r="J161" s="45"/>
      <c r="K161" s="38"/>
      <c r="L161" s="56"/>
      <c r="M161" s="56"/>
      <c r="N161" s="56"/>
      <c r="O161" s="56"/>
      <c r="P161" s="56"/>
      <c r="Q161" s="56"/>
      <c r="R161" s="56"/>
      <c r="S161" s="56"/>
      <c r="T161" s="56"/>
      <c r="U161" s="56"/>
      <c r="V161" s="56"/>
      <c r="W161" s="56"/>
      <c r="X161" s="56"/>
      <c r="Y161" s="56"/>
      <c r="Z161" s="56"/>
      <c r="AA161" s="56"/>
    </row>
    <row r="162" spans="1:27" ht="15.75" customHeight="1" x14ac:dyDescent="0.3">
      <c r="A162" s="43"/>
      <c r="B162" s="43"/>
      <c r="C162" s="38"/>
      <c r="D162" s="38"/>
      <c r="E162" s="38"/>
      <c r="F162" s="38"/>
      <c r="G162" s="45"/>
      <c r="H162" s="83"/>
      <c r="I162" s="45"/>
      <c r="J162" s="45"/>
      <c r="K162" s="38"/>
      <c r="L162" s="56"/>
      <c r="M162" s="56"/>
      <c r="N162" s="56"/>
      <c r="O162" s="56"/>
      <c r="P162" s="56"/>
      <c r="Q162" s="56"/>
      <c r="R162" s="56"/>
      <c r="S162" s="56"/>
      <c r="T162" s="56"/>
      <c r="U162" s="56"/>
      <c r="V162" s="56"/>
      <c r="W162" s="56"/>
      <c r="X162" s="56"/>
      <c r="Y162" s="56"/>
      <c r="Z162" s="56"/>
      <c r="AA162" s="56"/>
    </row>
    <row r="163" spans="1:27" ht="15.75" customHeight="1" x14ac:dyDescent="0.3">
      <c r="A163" s="43"/>
      <c r="B163" s="43"/>
      <c r="C163" s="38"/>
      <c r="D163" s="38"/>
      <c r="E163" s="38"/>
      <c r="F163" s="38"/>
      <c r="G163" s="45"/>
      <c r="H163" s="83"/>
      <c r="I163" s="45"/>
      <c r="J163" s="45"/>
      <c r="K163" s="38"/>
      <c r="L163" s="56"/>
      <c r="M163" s="56"/>
      <c r="N163" s="56"/>
      <c r="O163" s="56"/>
      <c r="P163" s="56"/>
      <c r="Q163" s="56"/>
      <c r="R163" s="56"/>
      <c r="S163" s="56"/>
      <c r="T163" s="56"/>
      <c r="U163" s="56"/>
      <c r="V163" s="56"/>
      <c r="W163" s="56"/>
      <c r="X163" s="56"/>
      <c r="Y163" s="56"/>
      <c r="Z163" s="56"/>
      <c r="AA163" s="56"/>
    </row>
    <row r="164" spans="1:27" ht="15.75" customHeight="1" x14ac:dyDescent="0.3">
      <c r="A164" s="43"/>
      <c r="B164" s="43"/>
      <c r="C164" s="38"/>
      <c r="D164" s="38"/>
      <c r="E164" s="38"/>
      <c r="F164" s="38"/>
      <c r="G164" s="45"/>
      <c r="H164" s="83"/>
      <c r="I164" s="45"/>
      <c r="J164" s="45"/>
      <c r="K164" s="38"/>
      <c r="L164" s="56"/>
      <c r="M164" s="56"/>
      <c r="N164" s="56"/>
      <c r="O164" s="56"/>
      <c r="P164" s="56"/>
      <c r="Q164" s="56"/>
      <c r="R164" s="56"/>
      <c r="S164" s="56"/>
      <c r="T164" s="56"/>
      <c r="U164" s="56"/>
      <c r="V164" s="56"/>
      <c r="W164" s="56"/>
      <c r="X164" s="56"/>
      <c r="Y164" s="56"/>
      <c r="Z164" s="56"/>
      <c r="AA164" s="56"/>
    </row>
    <row r="165" spans="1:27" ht="15.75" customHeight="1" x14ac:dyDescent="0.3">
      <c r="A165" s="43"/>
      <c r="B165" s="43"/>
      <c r="C165" s="38"/>
      <c r="D165" s="38"/>
      <c r="E165" s="38"/>
      <c r="F165" s="38"/>
      <c r="G165" s="45"/>
      <c r="H165" s="83"/>
      <c r="I165" s="45"/>
      <c r="J165" s="45"/>
      <c r="K165" s="38"/>
      <c r="L165" s="56"/>
      <c r="M165" s="56"/>
      <c r="N165" s="56"/>
      <c r="O165" s="56"/>
      <c r="P165" s="56"/>
      <c r="Q165" s="56"/>
      <c r="R165" s="56"/>
      <c r="S165" s="56"/>
      <c r="T165" s="56"/>
      <c r="U165" s="56"/>
      <c r="V165" s="56"/>
      <c r="W165" s="56"/>
      <c r="X165" s="56"/>
      <c r="Y165" s="56"/>
      <c r="Z165" s="56"/>
      <c r="AA165" s="56"/>
    </row>
    <row r="166" spans="1:27" ht="15.75" customHeight="1" x14ac:dyDescent="0.3">
      <c r="A166" s="43"/>
      <c r="B166" s="43"/>
      <c r="C166" s="38"/>
      <c r="D166" s="38"/>
      <c r="E166" s="38"/>
      <c r="F166" s="38"/>
      <c r="G166" s="45"/>
      <c r="H166" s="83"/>
      <c r="I166" s="45"/>
      <c r="J166" s="45"/>
      <c r="K166" s="38"/>
      <c r="L166" s="56"/>
      <c r="M166" s="56"/>
      <c r="N166" s="56"/>
      <c r="O166" s="56"/>
      <c r="P166" s="56"/>
      <c r="Q166" s="56"/>
      <c r="R166" s="56"/>
      <c r="S166" s="56"/>
      <c r="T166" s="56"/>
      <c r="U166" s="56"/>
      <c r="V166" s="56"/>
      <c r="W166" s="56"/>
      <c r="X166" s="56"/>
      <c r="Y166" s="56"/>
      <c r="Z166" s="56"/>
      <c r="AA166" s="56"/>
    </row>
    <row r="167" spans="1:27" ht="15.75" customHeight="1" x14ac:dyDescent="0.3">
      <c r="A167" s="43"/>
      <c r="B167" s="43"/>
      <c r="C167" s="38"/>
      <c r="D167" s="38"/>
      <c r="E167" s="38"/>
      <c r="F167" s="38"/>
      <c r="G167" s="45"/>
      <c r="H167" s="83"/>
      <c r="I167" s="45"/>
      <c r="J167" s="45"/>
      <c r="K167" s="38"/>
      <c r="L167" s="56"/>
      <c r="M167" s="56"/>
      <c r="N167" s="56"/>
      <c r="O167" s="56"/>
      <c r="P167" s="56"/>
      <c r="Q167" s="56"/>
      <c r="R167" s="56"/>
      <c r="S167" s="56"/>
      <c r="T167" s="56"/>
      <c r="U167" s="56"/>
      <c r="V167" s="56"/>
      <c r="W167" s="56"/>
      <c r="X167" s="56"/>
      <c r="Y167" s="56"/>
      <c r="Z167" s="56"/>
      <c r="AA167" s="56"/>
    </row>
    <row r="168" spans="1:27" ht="15.75" customHeight="1" x14ac:dyDescent="0.3">
      <c r="A168" s="43"/>
      <c r="B168" s="43"/>
      <c r="C168" s="38"/>
      <c r="D168" s="38"/>
      <c r="E168" s="38"/>
      <c r="F168" s="38"/>
      <c r="G168" s="45"/>
      <c r="H168" s="83"/>
      <c r="I168" s="45"/>
      <c r="J168" s="45"/>
      <c r="K168" s="38"/>
      <c r="L168" s="56"/>
      <c r="M168" s="56"/>
      <c r="N168" s="56"/>
      <c r="O168" s="56"/>
      <c r="P168" s="56"/>
      <c r="Q168" s="56"/>
      <c r="R168" s="56"/>
      <c r="S168" s="56"/>
      <c r="T168" s="56"/>
      <c r="U168" s="56"/>
      <c r="V168" s="56"/>
      <c r="W168" s="56"/>
      <c r="X168" s="56"/>
      <c r="Y168" s="56"/>
      <c r="Z168" s="56"/>
      <c r="AA168" s="56"/>
    </row>
    <row r="169" spans="1:27" ht="15.75" customHeight="1" x14ac:dyDescent="0.3">
      <c r="A169" s="43"/>
      <c r="B169" s="43"/>
      <c r="C169" s="38"/>
      <c r="D169" s="38"/>
      <c r="E169" s="38"/>
      <c r="F169" s="38"/>
      <c r="G169" s="45"/>
      <c r="H169" s="83"/>
      <c r="I169" s="45"/>
      <c r="J169" s="45"/>
      <c r="K169" s="38"/>
      <c r="L169" s="56"/>
      <c r="M169" s="56"/>
      <c r="N169" s="56"/>
      <c r="O169" s="56"/>
      <c r="P169" s="56"/>
      <c r="Q169" s="56"/>
      <c r="R169" s="56"/>
      <c r="S169" s="56"/>
      <c r="T169" s="56"/>
      <c r="U169" s="56"/>
      <c r="V169" s="56"/>
      <c r="W169" s="56"/>
      <c r="X169" s="56"/>
      <c r="Y169" s="56"/>
      <c r="Z169" s="56"/>
      <c r="AA169" s="56"/>
    </row>
    <row r="170" spans="1:27" ht="15.75" customHeight="1" x14ac:dyDescent="0.3">
      <c r="A170" s="43"/>
      <c r="B170" s="43"/>
      <c r="C170" s="38"/>
      <c r="D170" s="38"/>
      <c r="E170" s="38"/>
      <c r="F170" s="38"/>
      <c r="G170" s="45"/>
      <c r="H170" s="83"/>
      <c r="I170" s="45"/>
      <c r="J170" s="45"/>
      <c r="K170" s="38"/>
      <c r="L170" s="56"/>
      <c r="M170" s="56"/>
      <c r="N170" s="56"/>
      <c r="O170" s="56"/>
      <c r="P170" s="56"/>
      <c r="Q170" s="56"/>
      <c r="R170" s="56"/>
      <c r="S170" s="56"/>
      <c r="T170" s="56"/>
      <c r="U170" s="56"/>
      <c r="V170" s="56"/>
      <c r="W170" s="56"/>
      <c r="X170" s="56"/>
      <c r="Y170" s="56"/>
      <c r="Z170" s="56"/>
      <c r="AA170" s="56"/>
    </row>
    <row r="171" spans="1:27" ht="15.75" customHeight="1" x14ac:dyDescent="0.3">
      <c r="A171" s="43"/>
      <c r="B171" s="43"/>
      <c r="C171" s="38"/>
      <c r="D171" s="38"/>
      <c r="E171" s="38"/>
      <c r="F171" s="38"/>
      <c r="G171" s="45"/>
      <c r="H171" s="83"/>
      <c r="I171" s="45"/>
      <c r="J171" s="45"/>
      <c r="K171" s="38"/>
      <c r="L171" s="56"/>
      <c r="M171" s="56"/>
      <c r="N171" s="56"/>
      <c r="O171" s="56"/>
      <c r="P171" s="56"/>
      <c r="Q171" s="56"/>
      <c r="R171" s="56"/>
      <c r="S171" s="56"/>
      <c r="T171" s="56"/>
      <c r="U171" s="56"/>
      <c r="V171" s="56"/>
      <c r="W171" s="56"/>
      <c r="X171" s="56"/>
      <c r="Y171" s="56"/>
      <c r="Z171" s="56"/>
      <c r="AA171" s="56"/>
    </row>
    <row r="172" spans="1:27" ht="15.75" customHeight="1" x14ac:dyDescent="0.3">
      <c r="A172" s="43"/>
      <c r="B172" s="43"/>
      <c r="C172" s="38"/>
      <c r="D172" s="38"/>
      <c r="E172" s="38"/>
      <c r="F172" s="38"/>
      <c r="G172" s="45"/>
      <c r="H172" s="83"/>
      <c r="I172" s="45"/>
      <c r="J172" s="45"/>
      <c r="K172" s="38"/>
      <c r="L172" s="56"/>
      <c r="M172" s="56"/>
      <c r="N172" s="56"/>
      <c r="O172" s="56"/>
      <c r="P172" s="56"/>
      <c r="Q172" s="56"/>
      <c r="R172" s="56"/>
      <c r="S172" s="56"/>
      <c r="T172" s="56"/>
      <c r="U172" s="56"/>
      <c r="V172" s="56"/>
      <c r="W172" s="56"/>
      <c r="X172" s="56"/>
      <c r="Y172" s="56"/>
      <c r="Z172" s="56"/>
      <c r="AA172" s="56"/>
    </row>
    <row r="173" spans="1:27" ht="15.75" customHeight="1" x14ac:dyDescent="0.3">
      <c r="A173" s="43"/>
      <c r="B173" s="43"/>
      <c r="C173" s="38"/>
      <c r="D173" s="38"/>
      <c r="E173" s="38"/>
      <c r="F173" s="38"/>
      <c r="G173" s="45"/>
      <c r="H173" s="83"/>
      <c r="I173" s="45"/>
      <c r="J173" s="45"/>
      <c r="K173" s="38"/>
      <c r="L173" s="56"/>
      <c r="M173" s="56"/>
      <c r="N173" s="56"/>
      <c r="O173" s="56"/>
      <c r="P173" s="56"/>
      <c r="Q173" s="56"/>
      <c r="R173" s="56"/>
      <c r="S173" s="56"/>
      <c r="T173" s="56"/>
      <c r="U173" s="56"/>
      <c r="V173" s="56"/>
      <c r="W173" s="56"/>
      <c r="X173" s="56"/>
      <c r="Y173" s="56"/>
      <c r="Z173" s="56"/>
      <c r="AA173" s="56"/>
    </row>
    <row r="174" spans="1:27" ht="15.75" customHeight="1" x14ac:dyDescent="0.3">
      <c r="A174" s="43"/>
      <c r="B174" s="43"/>
      <c r="C174" s="38"/>
      <c r="D174" s="38"/>
      <c r="E174" s="38"/>
      <c r="F174" s="38"/>
      <c r="G174" s="45"/>
      <c r="H174" s="83"/>
      <c r="I174" s="45"/>
      <c r="J174" s="45"/>
      <c r="K174" s="38"/>
      <c r="L174" s="56"/>
      <c r="M174" s="56"/>
      <c r="N174" s="56"/>
      <c r="O174" s="56"/>
      <c r="P174" s="56"/>
      <c r="Q174" s="56"/>
      <c r="R174" s="56"/>
      <c r="S174" s="56"/>
      <c r="T174" s="56"/>
      <c r="U174" s="56"/>
      <c r="V174" s="56"/>
      <c r="W174" s="56"/>
      <c r="X174" s="56"/>
      <c r="Y174" s="56"/>
      <c r="Z174" s="56"/>
      <c r="AA174" s="56"/>
    </row>
    <row r="175" spans="1:27" ht="15.75" customHeight="1" x14ac:dyDescent="0.3">
      <c r="A175" s="43"/>
      <c r="B175" s="43"/>
      <c r="C175" s="38"/>
      <c r="D175" s="38"/>
      <c r="E175" s="38"/>
      <c r="F175" s="38"/>
      <c r="G175" s="45"/>
      <c r="H175" s="83"/>
      <c r="I175" s="45"/>
      <c r="J175" s="45"/>
      <c r="K175" s="38"/>
      <c r="L175" s="56"/>
      <c r="M175" s="56"/>
      <c r="N175" s="56"/>
      <c r="O175" s="56"/>
      <c r="P175" s="56"/>
      <c r="Q175" s="56"/>
      <c r="R175" s="56"/>
      <c r="S175" s="56"/>
      <c r="T175" s="56"/>
      <c r="U175" s="56"/>
      <c r="V175" s="56"/>
      <c r="W175" s="56"/>
      <c r="X175" s="56"/>
      <c r="Y175" s="56"/>
      <c r="Z175" s="56"/>
      <c r="AA175" s="56"/>
    </row>
    <row r="176" spans="1:27" ht="15.75" customHeight="1" x14ac:dyDescent="0.3">
      <c r="A176" s="43"/>
      <c r="B176" s="43"/>
      <c r="C176" s="38"/>
      <c r="D176" s="38"/>
      <c r="E176" s="38"/>
      <c r="F176" s="38"/>
      <c r="G176" s="45"/>
      <c r="H176" s="83"/>
      <c r="I176" s="45"/>
      <c r="J176" s="45"/>
      <c r="K176" s="38"/>
      <c r="L176" s="56"/>
      <c r="M176" s="56"/>
      <c r="N176" s="56"/>
      <c r="O176" s="56"/>
      <c r="P176" s="56"/>
      <c r="Q176" s="56"/>
      <c r="R176" s="56"/>
      <c r="S176" s="56"/>
      <c r="T176" s="56"/>
      <c r="U176" s="56"/>
      <c r="V176" s="56"/>
      <c r="W176" s="56"/>
      <c r="X176" s="56"/>
      <c r="Y176" s="56"/>
      <c r="Z176" s="56"/>
      <c r="AA176" s="56"/>
    </row>
    <row r="177" spans="1:27" ht="15.75" customHeight="1" x14ac:dyDescent="0.3">
      <c r="A177" s="43"/>
      <c r="B177" s="43"/>
      <c r="C177" s="38"/>
      <c r="D177" s="38"/>
      <c r="E177" s="38"/>
      <c r="F177" s="38"/>
      <c r="G177" s="45"/>
      <c r="H177" s="83"/>
      <c r="I177" s="45"/>
      <c r="J177" s="45"/>
      <c r="K177" s="38"/>
      <c r="L177" s="56"/>
      <c r="M177" s="56"/>
      <c r="N177" s="56"/>
      <c r="O177" s="56"/>
      <c r="P177" s="56"/>
      <c r="Q177" s="56"/>
      <c r="R177" s="56"/>
      <c r="S177" s="56"/>
      <c r="T177" s="56"/>
      <c r="U177" s="56"/>
      <c r="V177" s="56"/>
      <c r="W177" s="56"/>
      <c r="X177" s="56"/>
      <c r="Y177" s="56"/>
      <c r="Z177" s="56"/>
      <c r="AA177" s="56"/>
    </row>
    <row r="178" spans="1:27" ht="15.75" customHeight="1" x14ac:dyDescent="0.3">
      <c r="A178" s="43"/>
      <c r="B178" s="43"/>
      <c r="C178" s="38"/>
      <c r="D178" s="38"/>
      <c r="E178" s="38"/>
      <c r="F178" s="38"/>
      <c r="G178" s="45"/>
      <c r="H178" s="83"/>
      <c r="I178" s="45"/>
      <c r="J178" s="45"/>
      <c r="K178" s="38"/>
      <c r="L178" s="56"/>
      <c r="M178" s="56"/>
      <c r="N178" s="56"/>
      <c r="O178" s="56"/>
      <c r="P178" s="56"/>
      <c r="Q178" s="56"/>
      <c r="R178" s="56"/>
      <c r="S178" s="56"/>
      <c r="T178" s="56"/>
      <c r="U178" s="56"/>
      <c r="V178" s="56"/>
      <c r="W178" s="56"/>
      <c r="X178" s="56"/>
      <c r="Y178" s="56"/>
      <c r="Z178" s="56"/>
      <c r="AA178" s="56"/>
    </row>
    <row r="179" spans="1:27" ht="15.75" customHeight="1" x14ac:dyDescent="0.3">
      <c r="A179" s="43"/>
      <c r="B179" s="43"/>
      <c r="C179" s="38"/>
      <c r="D179" s="38"/>
      <c r="E179" s="38"/>
      <c r="F179" s="38"/>
      <c r="G179" s="45"/>
      <c r="H179" s="83"/>
      <c r="I179" s="45"/>
      <c r="J179" s="45"/>
      <c r="K179" s="38"/>
      <c r="L179" s="56"/>
      <c r="M179" s="56"/>
      <c r="N179" s="56"/>
      <c r="O179" s="56"/>
      <c r="P179" s="56"/>
      <c r="Q179" s="56"/>
      <c r="R179" s="56"/>
      <c r="S179" s="56"/>
      <c r="T179" s="56"/>
      <c r="U179" s="56"/>
      <c r="V179" s="56"/>
      <c r="W179" s="56"/>
      <c r="X179" s="56"/>
      <c r="Y179" s="56"/>
      <c r="Z179" s="56"/>
      <c r="AA179" s="56"/>
    </row>
    <row r="180" spans="1:27" ht="15.75" customHeight="1" x14ac:dyDescent="0.3">
      <c r="A180" s="43"/>
      <c r="B180" s="43"/>
      <c r="C180" s="38"/>
      <c r="D180" s="38"/>
      <c r="E180" s="38"/>
      <c r="F180" s="38"/>
      <c r="G180" s="45"/>
      <c r="H180" s="83"/>
      <c r="I180" s="45"/>
      <c r="J180" s="45"/>
      <c r="K180" s="38"/>
      <c r="L180" s="56"/>
      <c r="M180" s="56"/>
      <c r="N180" s="56"/>
      <c r="O180" s="56"/>
      <c r="P180" s="56"/>
      <c r="Q180" s="56"/>
      <c r="R180" s="56"/>
      <c r="S180" s="56"/>
      <c r="T180" s="56"/>
      <c r="U180" s="56"/>
      <c r="V180" s="56"/>
      <c r="W180" s="56"/>
      <c r="X180" s="56"/>
      <c r="Y180" s="56"/>
      <c r="Z180" s="56"/>
      <c r="AA180" s="56"/>
    </row>
    <row r="181" spans="1:27" ht="15.75" customHeight="1" x14ac:dyDescent="0.3">
      <c r="A181" s="43"/>
      <c r="B181" s="43"/>
      <c r="C181" s="38"/>
      <c r="D181" s="38"/>
      <c r="E181" s="38"/>
      <c r="F181" s="38"/>
      <c r="G181" s="45"/>
      <c r="H181" s="83"/>
      <c r="I181" s="45"/>
      <c r="J181" s="45"/>
      <c r="K181" s="38"/>
      <c r="L181" s="56"/>
      <c r="M181" s="56"/>
      <c r="N181" s="56"/>
      <c r="O181" s="56"/>
      <c r="P181" s="56"/>
      <c r="Q181" s="56"/>
      <c r="R181" s="56"/>
      <c r="S181" s="56"/>
      <c r="T181" s="56"/>
      <c r="U181" s="56"/>
      <c r="V181" s="56"/>
      <c r="W181" s="56"/>
      <c r="X181" s="56"/>
      <c r="Y181" s="56"/>
      <c r="Z181" s="56"/>
      <c r="AA181" s="56"/>
    </row>
    <row r="182" spans="1:27" ht="15.75" customHeight="1" x14ac:dyDescent="0.3">
      <c r="A182" s="43"/>
      <c r="B182" s="43"/>
      <c r="C182" s="38"/>
      <c r="D182" s="38"/>
      <c r="E182" s="38"/>
      <c r="F182" s="38"/>
      <c r="G182" s="45"/>
      <c r="H182" s="83"/>
      <c r="I182" s="45"/>
      <c r="J182" s="45"/>
      <c r="K182" s="38"/>
      <c r="L182" s="56"/>
      <c r="M182" s="56"/>
      <c r="N182" s="56"/>
      <c r="O182" s="56"/>
      <c r="P182" s="56"/>
      <c r="Q182" s="56"/>
      <c r="R182" s="56"/>
      <c r="S182" s="56"/>
      <c r="T182" s="56"/>
      <c r="U182" s="56"/>
      <c r="V182" s="56"/>
      <c r="W182" s="56"/>
      <c r="X182" s="56"/>
      <c r="Y182" s="56"/>
      <c r="Z182" s="56"/>
      <c r="AA182" s="56"/>
    </row>
    <row r="183" spans="1:27" ht="15.75" customHeight="1" x14ac:dyDescent="0.3">
      <c r="A183" s="43"/>
      <c r="B183" s="43"/>
      <c r="C183" s="38"/>
      <c r="D183" s="38"/>
      <c r="E183" s="38"/>
      <c r="F183" s="38"/>
      <c r="G183" s="45"/>
      <c r="H183" s="83"/>
      <c r="I183" s="45"/>
      <c r="J183" s="45"/>
      <c r="K183" s="38"/>
      <c r="L183" s="56"/>
      <c r="M183" s="56"/>
      <c r="N183" s="56"/>
      <c r="O183" s="56"/>
      <c r="P183" s="56"/>
      <c r="Q183" s="56"/>
      <c r="R183" s="56"/>
      <c r="S183" s="56"/>
      <c r="T183" s="56"/>
      <c r="U183" s="56"/>
      <c r="V183" s="56"/>
      <c r="W183" s="56"/>
      <c r="X183" s="56"/>
      <c r="Y183" s="56"/>
      <c r="Z183" s="56"/>
      <c r="AA183" s="56"/>
    </row>
    <row r="184" spans="1:27" ht="15.75" customHeight="1" x14ac:dyDescent="0.3">
      <c r="A184" s="43"/>
      <c r="B184" s="43"/>
      <c r="C184" s="38"/>
      <c r="D184" s="38"/>
      <c r="E184" s="38"/>
      <c r="F184" s="38"/>
      <c r="G184" s="45"/>
      <c r="H184" s="83"/>
      <c r="I184" s="45"/>
      <c r="J184" s="45"/>
      <c r="K184" s="38"/>
      <c r="L184" s="56"/>
      <c r="M184" s="56"/>
      <c r="N184" s="56"/>
      <c r="O184" s="56"/>
      <c r="P184" s="56"/>
      <c r="Q184" s="56"/>
      <c r="R184" s="56"/>
      <c r="S184" s="56"/>
      <c r="T184" s="56"/>
      <c r="U184" s="56"/>
      <c r="V184" s="56"/>
      <c r="W184" s="56"/>
      <c r="X184" s="56"/>
      <c r="Y184" s="56"/>
      <c r="Z184" s="56"/>
      <c r="AA184" s="56"/>
    </row>
    <row r="185" spans="1:27" ht="15.75" customHeight="1" x14ac:dyDescent="0.3">
      <c r="A185" s="43"/>
      <c r="B185" s="43"/>
      <c r="C185" s="38"/>
      <c r="D185" s="38"/>
      <c r="E185" s="38"/>
      <c r="F185" s="38"/>
      <c r="G185" s="45"/>
      <c r="H185" s="83"/>
      <c r="I185" s="45"/>
      <c r="J185" s="45"/>
      <c r="K185" s="38"/>
      <c r="L185" s="56"/>
      <c r="M185" s="56"/>
      <c r="N185" s="56"/>
      <c r="O185" s="56"/>
      <c r="P185" s="56"/>
      <c r="Q185" s="56"/>
      <c r="R185" s="56"/>
      <c r="S185" s="56"/>
      <c r="T185" s="56"/>
      <c r="U185" s="56"/>
      <c r="V185" s="56"/>
      <c r="W185" s="56"/>
      <c r="X185" s="56"/>
      <c r="Y185" s="56"/>
      <c r="Z185" s="56"/>
      <c r="AA185" s="56"/>
    </row>
    <row r="186" spans="1:27" ht="15.75" customHeight="1" x14ac:dyDescent="0.3">
      <c r="A186" s="43"/>
      <c r="B186" s="43"/>
      <c r="C186" s="38"/>
      <c r="D186" s="38"/>
      <c r="E186" s="38"/>
      <c r="F186" s="38"/>
      <c r="G186" s="45"/>
      <c r="H186" s="83"/>
      <c r="I186" s="45"/>
      <c r="J186" s="45"/>
      <c r="K186" s="38"/>
      <c r="L186" s="56"/>
      <c r="M186" s="56"/>
      <c r="N186" s="56"/>
      <c r="O186" s="56"/>
      <c r="P186" s="56"/>
      <c r="Q186" s="56"/>
      <c r="R186" s="56"/>
      <c r="S186" s="56"/>
      <c r="T186" s="56"/>
      <c r="U186" s="56"/>
      <c r="V186" s="56"/>
      <c r="W186" s="56"/>
      <c r="X186" s="56"/>
      <c r="Y186" s="56"/>
      <c r="Z186" s="56"/>
      <c r="AA186" s="56"/>
    </row>
    <row r="187" spans="1:27" ht="15.75" customHeight="1" x14ac:dyDescent="0.3">
      <c r="A187" s="43"/>
      <c r="B187" s="43"/>
      <c r="C187" s="38"/>
      <c r="D187" s="38"/>
      <c r="E187" s="38"/>
      <c r="F187" s="38"/>
      <c r="G187" s="45"/>
      <c r="H187" s="83"/>
      <c r="I187" s="45"/>
      <c r="J187" s="45"/>
      <c r="K187" s="38"/>
      <c r="L187" s="56"/>
      <c r="M187" s="56"/>
      <c r="N187" s="56"/>
      <c r="O187" s="56"/>
      <c r="P187" s="56"/>
      <c r="Q187" s="56"/>
      <c r="R187" s="56"/>
      <c r="S187" s="56"/>
      <c r="T187" s="56"/>
      <c r="U187" s="56"/>
      <c r="V187" s="56"/>
      <c r="W187" s="56"/>
      <c r="X187" s="56"/>
      <c r="Y187" s="56"/>
      <c r="Z187" s="56"/>
      <c r="AA187" s="56"/>
    </row>
    <row r="188" spans="1:27" ht="15.75" customHeight="1" x14ac:dyDescent="0.3">
      <c r="A188" s="43"/>
      <c r="B188" s="43"/>
      <c r="C188" s="38"/>
      <c r="D188" s="38"/>
      <c r="E188" s="38"/>
      <c r="F188" s="38"/>
      <c r="G188" s="45"/>
      <c r="H188" s="83"/>
      <c r="I188" s="45"/>
      <c r="J188" s="45"/>
      <c r="K188" s="38"/>
      <c r="L188" s="56"/>
      <c r="M188" s="56"/>
      <c r="N188" s="56"/>
      <c r="O188" s="56"/>
      <c r="P188" s="56"/>
      <c r="Q188" s="56"/>
      <c r="R188" s="56"/>
      <c r="S188" s="56"/>
      <c r="T188" s="56"/>
      <c r="U188" s="56"/>
      <c r="V188" s="56"/>
      <c r="W188" s="56"/>
      <c r="X188" s="56"/>
      <c r="Y188" s="56"/>
      <c r="Z188" s="56"/>
      <c r="AA188" s="56"/>
    </row>
    <row r="189" spans="1:27" ht="15.75" customHeight="1" x14ac:dyDescent="0.3">
      <c r="A189" s="43"/>
      <c r="B189" s="43"/>
      <c r="C189" s="38"/>
      <c r="D189" s="38"/>
      <c r="E189" s="38"/>
      <c r="F189" s="38"/>
      <c r="G189" s="45"/>
      <c r="H189" s="83"/>
      <c r="I189" s="45"/>
      <c r="J189" s="45"/>
      <c r="K189" s="38"/>
      <c r="L189" s="56"/>
      <c r="M189" s="56"/>
      <c r="N189" s="56"/>
      <c r="O189" s="56"/>
      <c r="P189" s="56"/>
      <c r="Q189" s="56"/>
      <c r="R189" s="56"/>
      <c r="S189" s="56"/>
      <c r="T189" s="56"/>
      <c r="U189" s="56"/>
      <c r="V189" s="56"/>
      <c r="W189" s="56"/>
      <c r="X189" s="56"/>
      <c r="Y189" s="56"/>
      <c r="Z189" s="56"/>
      <c r="AA189" s="56"/>
    </row>
    <row r="190" spans="1:27" ht="15.75" customHeight="1" x14ac:dyDescent="0.3">
      <c r="A190" s="43"/>
      <c r="B190" s="43"/>
      <c r="C190" s="38"/>
      <c r="D190" s="38"/>
      <c r="E190" s="38"/>
      <c r="F190" s="38"/>
      <c r="G190" s="45"/>
      <c r="H190" s="83"/>
      <c r="I190" s="45"/>
      <c r="J190" s="45"/>
      <c r="K190" s="38"/>
      <c r="L190" s="56"/>
      <c r="M190" s="56"/>
      <c r="N190" s="56"/>
      <c r="O190" s="56"/>
      <c r="P190" s="56"/>
      <c r="Q190" s="56"/>
      <c r="R190" s="56"/>
      <c r="S190" s="56"/>
      <c r="T190" s="56"/>
      <c r="U190" s="56"/>
      <c r="V190" s="56"/>
      <c r="W190" s="56"/>
      <c r="X190" s="56"/>
      <c r="Y190" s="56"/>
      <c r="Z190" s="56"/>
      <c r="AA190" s="56"/>
    </row>
    <row r="191" spans="1:27" ht="15.75" customHeight="1" x14ac:dyDescent="0.3">
      <c r="A191" s="43"/>
      <c r="B191" s="43"/>
      <c r="C191" s="38"/>
      <c r="D191" s="38"/>
      <c r="E191" s="38"/>
      <c r="F191" s="38"/>
      <c r="G191" s="45"/>
      <c r="H191" s="83"/>
      <c r="I191" s="45"/>
      <c r="J191" s="45"/>
      <c r="K191" s="38"/>
      <c r="L191" s="56"/>
      <c r="M191" s="56"/>
      <c r="N191" s="56"/>
      <c r="O191" s="56"/>
      <c r="P191" s="56"/>
      <c r="Q191" s="56"/>
      <c r="R191" s="56"/>
      <c r="S191" s="56"/>
      <c r="T191" s="56"/>
      <c r="U191" s="56"/>
      <c r="V191" s="56"/>
      <c r="W191" s="56"/>
      <c r="X191" s="56"/>
      <c r="Y191" s="56"/>
      <c r="Z191" s="56"/>
      <c r="AA191" s="56"/>
    </row>
    <row r="192" spans="1:27" ht="15.75" customHeight="1" x14ac:dyDescent="0.3">
      <c r="A192" s="43"/>
      <c r="B192" s="43"/>
      <c r="C192" s="38"/>
      <c r="D192" s="38"/>
      <c r="E192" s="38"/>
      <c r="F192" s="38"/>
      <c r="G192" s="45"/>
      <c r="H192" s="83"/>
      <c r="I192" s="45"/>
      <c r="J192" s="45"/>
      <c r="K192" s="38"/>
      <c r="L192" s="56"/>
      <c r="M192" s="56"/>
      <c r="N192" s="56"/>
      <c r="O192" s="56"/>
      <c r="P192" s="56"/>
      <c r="Q192" s="56"/>
      <c r="R192" s="56"/>
      <c r="S192" s="56"/>
      <c r="T192" s="56"/>
      <c r="U192" s="56"/>
      <c r="V192" s="56"/>
      <c r="W192" s="56"/>
      <c r="X192" s="56"/>
      <c r="Y192" s="56"/>
      <c r="Z192" s="56"/>
      <c r="AA192" s="56"/>
    </row>
    <row r="193" spans="1:27" ht="15.75" customHeight="1" x14ac:dyDescent="0.3">
      <c r="A193" s="43"/>
      <c r="B193" s="43"/>
      <c r="C193" s="38"/>
      <c r="D193" s="38"/>
      <c r="E193" s="38"/>
      <c r="F193" s="38"/>
      <c r="G193" s="45"/>
      <c r="H193" s="83"/>
      <c r="I193" s="45"/>
      <c r="J193" s="45"/>
      <c r="K193" s="38"/>
      <c r="L193" s="56"/>
      <c r="M193" s="56"/>
      <c r="N193" s="56"/>
      <c r="O193" s="56"/>
      <c r="P193" s="56"/>
      <c r="Q193" s="56"/>
      <c r="R193" s="56"/>
      <c r="S193" s="56"/>
      <c r="T193" s="56"/>
      <c r="U193" s="56"/>
      <c r="V193" s="56"/>
      <c r="W193" s="56"/>
      <c r="X193" s="56"/>
      <c r="Y193" s="56"/>
      <c r="Z193" s="56"/>
      <c r="AA193" s="56"/>
    </row>
    <row r="194" spans="1:27" ht="15.75" customHeight="1" x14ac:dyDescent="0.3">
      <c r="A194" s="43"/>
      <c r="B194" s="43"/>
      <c r="C194" s="38"/>
      <c r="D194" s="38"/>
      <c r="E194" s="38"/>
      <c r="F194" s="38"/>
      <c r="G194" s="45"/>
      <c r="H194" s="83"/>
      <c r="I194" s="45"/>
      <c r="J194" s="45"/>
      <c r="K194" s="38"/>
      <c r="L194" s="56"/>
      <c r="M194" s="56"/>
      <c r="N194" s="56"/>
      <c r="O194" s="56"/>
      <c r="P194" s="56"/>
      <c r="Q194" s="56"/>
      <c r="R194" s="56"/>
      <c r="S194" s="56"/>
      <c r="T194" s="56"/>
      <c r="U194" s="56"/>
      <c r="V194" s="56"/>
      <c r="W194" s="56"/>
      <c r="X194" s="56"/>
      <c r="Y194" s="56"/>
      <c r="Z194" s="56"/>
      <c r="AA194" s="56"/>
    </row>
    <row r="195" spans="1:27" ht="15.75" customHeight="1" x14ac:dyDescent="0.3">
      <c r="A195" s="43"/>
      <c r="B195" s="43"/>
      <c r="C195" s="38"/>
      <c r="D195" s="38"/>
      <c r="E195" s="38"/>
      <c r="F195" s="38"/>
      <c r="G195" s="45"/>
      <c r="H195" s="83"/>
      <c r="I195" s="45"/>
      <c r="J195" s="45"/>
      <c r="K195" s="38"/>
      <c r="L195" s="56"/>
      <c r="M195" s="56"/>
      <c r="N195" s="56"/>
      <c r="O195" s="56"/>
      <c r="P195" s="56"/>
      <c r="Q195" s="56"/>
      <c r="R195" s="56"/>
      <c r="S195" s="56"/>
      <c r="T195" s="56"/>
      <c r="U195" s="56"/>
      <c r="V195" s="56"/>
      <c r="W195" s="56"/>
      <c r="X195" s="56"/>
      <c r="Y195" s="56"/>
      <c r="Z195" s="56"/>
      <c r="AA195" s="56"/>
    </row>
    <row r="196" spans="1:27" ht="15.75" customHeight="1" x14ac:dyDescent="0.3">
      <c r="A196" s="43"/>
      <c r="B196" s="43"/>
      <c r="C196" s="38"/>
      <c r="D196" s="38"/>
      <c r="E196" s="38"/>
      <c r="F196" s="38"/>
      <c r="G196" s="45"/>
      <c r="H196" s="83"/>
      <c r="I196" s="45"/>
      <c r="J196" s="45"/>
      <c r="K196" s="38"/>
      <c r="L196" s="56"/>
      <c r="M196" s="56"/>
      <c r="N196" s="56"/>
      <c r="O196" s="56"/>
      <c r="P196" s="56"/>
      <c r="Q196" s="56"/>
      <c r="R196" s="56"/>
      <c r="S196" s="56"/>
      <c r="T196" s="56"/>
      <c r="U196" s="56"/>
      <c r="V196" s="56"/>
      <c r="W196" s="56"/>
      <c r="X196" s="56"/>
      <c r="Y196" s="56"/>
      <c r="Z196" s="56"/>
      <c r="AA196" s="56"/>
    </row>
    <row r="197" spans="1:27" ht="15.75" customHeight="1" x14ac:dyDescent="0.3">
      <c r="A197" s="43"/>
      <c r="B197" s="43"/>
      <c r="C197" s="38"/>
      <c r="D197" s="38"/>
      <c r="E197" s="38"/>
      <c r="F197" s="38"/>
      <c r="G197" s="45"/>
      <c r="H197" s="83"/>
      <c r="I197" s="45"/>
      <c r="J197" s="45"/>
      <c r="K197" s="38"/>
      <c r="L197" s="56"/>
      <c r="M197" s="56"/>
      <c r="N197" s="56"/>
      <c r="O197" s="56"/>
      <c r="P197" s="56"/>
      <c r="Q197" s="56"/>
      <c r="R197" s="56"/>
      <c r="S197" s="56"/>
      <c r="T197" s="56"/>
      <c r="U197" s="56"/>
      <c r="V197" s="56"/>
      <c r="W197" s="56"/>
      <c r="X197" s="56"/>
      <c r="Y197" s="56"/>
      <c r="Z197" s="56"/>
      <c r="AA197" s="56"/>
    </row>
    <row r="198" spans="1:27" ht="15.75" customHeight="1" x14ac:dyDescent="0.3">
      <c r="A198" s="43"/>
      <c r="B198" s="43"/>
      <c r="C198" s="38"/>
      <c r="D198" s="38"/>
      <c r="E198" s="38"/>
      <c r="F198" s="38"/>
      <c r="G198" s="45"/>
      <c r="H198" s="83"/>
      <c r="I198" s="45"/>
      <c r="J198" s="45"/>
      <c r="K198" s="38"/>
      <c r="L198" s="56"/>
      <c r="M198" s="56"/>
      <c r="N198" s="56"/>
      <c r="O198" s="56"/>
      <c r="P198" s="56"/>
      <c r="Q198" s="56"/>
      <c r="R198" s="56"/>
      <c r="S198" s="56"/>
      <c r="T198" s="56"/>
      <c r="U198" s="56"/>
      <c r="V198" s="56"/>
      <c r="W198" s="56"/>
      <c r="X198" s="56"/>
      <c r="Y198" s="56"/>
      <c r="Z198" s="56"/>
      <c r="AA198" s="56"/>
    </row>
    <row r="199" spans="1:27" ht="15.75" customHeight="1" x14ac:dyDescent="0.3">
      <c r="A199" s="43"/>
      <c r="B199" s="43"/>
      <c r="C199" s="38"/>
      <c r="D199" s="38"/>
      <c r="E199" s="38"/>
      <c r="F199" s="38"/>
      <c r="G199" s="45"/>
      <c r="H199" s="83"/>
      <c r="I199" s="45"/>
      <c r="J199" s="45"/>
      <c r="K199" s="38"/>
      <c r="L199" s="56"/>
      <c r="M199" s="56"/>
      <c r="N199" s="56"/>
      <c r="O199" s="56"/>
      <c r="P199" s="56"/>
      <c r="Q199" s="56"/>
      <c r="R199" s="56"/>
      <c r="S199" s="56"/>
      <c r="T199" s="56"/>
      <c r="U199" s="56"/>
      <c r="V199" s="56"/>
      <c r="W199" s="56"/>
      <c r="X199" s="56"/>
      <c r="Y199" s="56"/>
      <c r="Z199" s="56"/>
      <c r="AA199" s="56"/>
    </row>
    <row r="200" spans="1:27" ht="15.75" customHeight="1" x14ac:dyDescent="0.3">
      <c r="A200" s="43"/>
      <c r="B200" s="43"/>
      <c r="C200" s="38"/>
      <c r="D200" s="38"/>
      <c r="E200" s="38"/>
      <c r="F200" s="38"/>
      <c r="G200" s="45"/>
      <c r="H200" s="83"/>
      <c r="I200" s="45"/>
      <c r="J200" s="45"/>
      <c r="K200" s="38"/>
      <c r="L200" s="56"/>
      <c r="M200" s="56"/>
      <c r="N200" s="56"/>
      <c r="O200" s="56"/>
      <c r="P200" s="56"/>
      <c r="Q200" s="56"/>
      <c r="R200" s="56"/>
      <c r="S200" s="56"/>
      <c r="T200" s="56"/>
      <c r="U200" s="56"/>
      <c r="V200" s="56"/>
      <c r="W200" s="56"/>
      <c r="X200" s="56"/>
      <c r="Y200" s="56"/>
      <c r="Z200" s="56"/>
      <c r="AA200" s="56"/>
    </row>
    <row r="201" spans="1:27" ht="15.75" customHeight="1" x14ac:dyDescent="0.3">
      <c r="A201" s="43"/>
      <c r="B201" s="43"/>
      <c r="C201" s="38"/>
      <c r="D201" s="38"/>
      <c r="E201" s="38"/>
      <c r="F201" s="38"/>
      <c r="G201" s="45"/>
      <c r="H201" s="83"/>
      <c r="I201" s="45"/>
      <c r="J201" s="45"/>
      <c r="K201" s="38"/>
      <c r="L201" s="56"/>
      <c r="M201" s="56"/>
      <c r="N201" s="56"/>
      <c r="O201" s="56"/>
      <c r="P201" s="56"/>
      <c r="Q201" s="56"/>
      <c r="R201" s="56"/>
      <c r="S201" s="56"/>
      <c r="T201" s="56"/>
      <c r="U201" s="56"/>
      <c r="V201" s="56"/>
      <c r="W201" s="56"/>
      <c r="X201" s="56"/>
      <c r="Y201" s="56"/>
      <c r="Z201" s="56"/>
      <c r="AA201" s="56"/>
    </row>
    <row r="202" spans="1:27" ht="15.75" customHeight="1" x14ac:dyDescent="0.3">
      <c r="A202" s="43"/>
      <c r="B202" s="43"/>
      <c r="C202" s="38"/>
      <c r="D202" s="38"/>
      <c r="E202" s="38"/>
      <c r="F202" s="38"/>
      <c r="G202" s="45"/>
      <c r="H202" s="83"/>
      <c r="I202" s="45"/>
      <c r="J202" s="45"/>
      <c r="K202" s="38"/>
      <c r="L202" s="56"/>
      <c r="M202" s="56"/>
      <c r="N202" s="56"/>
      <c r="O202" s="56"/>
      <c r="P202" s="56"/>
      <c r="Q202" s="56"/>
      <c r="R202" s="56"/>
      <c r="S202" s="56"/>
      <c r="T202" s="56"/>
      <c r="U202" s="56"/>
      <c r="V202" s="56"/>
      <c r="W202" s="56"/>
      <c r="X202" s="56"/>
      <c r="Y202" s="56"/>
      <c r="Z202" s="56"/>
      <c r="AA202" s="56"/>
    </row>
    <row r="203" spans="1:27" ht="15.75" customHeight="1" x14ac:dyDescent="0.3">
      <c r="A203" s="43"/>
      <c r="B203" s="43"/>
      <c r="C203" s="38"/>
      <c r="D203" s="38"/>
      <c r="E203" s="38"/>
      <c r="F203" s="38"/>
      <c r="G203" s="45"/>
      <c r="H203" s="83"/>
      <c r="I203" s="45"/>
      <c r="J203" s="45"/>
      <c r="K203" s="38"/>
      <c r="L203" s="56"/>
      <c r="M203" s="56"/>
      <c r="N203" s="56"/>
      <c r="O203" s="56"/>
      <c r="P203" s="56"/>
      <c r="Q203" s="56"/>
      <c r="R203" s="56"/>
      <c r="S203" s="56"/>
      <c r="T203" s="56"/>
      <c r="U203" s="56"/>
      <c r="V203" s="56"/>
      <c r="W203" s="56"/>
      <c r="X203" s="56"/>
      <c r="Y203" s="56"/>
      <c r="Z203" s="56"/>
      <c r="AA203" s="56"/>
    </row>
    <row r="204" spans="1:27" ht="15.75" customHeight="1" x14ac:dyDescent="0.3">
      <c r="A204" s="43"/>
      <c r="B204" s="43"/>
      <c r="C204" s="38"/>
      <c r="D204" s="38"/>
      <c r="E204" s="38"/>
      <c r="F204" s="38"/>
      <c r="G204" s="45"/>
      <c r="H204" s="83"/>
      <c r="I204" s="45"/>
      <c r="J204" s="45"/>
      <c r="K204" s="38"/>
      <c r="L204" s="56"/>
      <c r="M204" s="56"/>
      <c r="N204" s="56"/>
      <c r="O204" s="56"/>
      <c r="P204" s="56"/>
      <c r="Q204" s="56"/>
      <c r="R204" s="56"/>
      <c r="S204" s="56"/>
      <c r="T204" s="56"/>
      <c r="U204" s="56"/>
      <c r="V204" s="56"/>
      <c r="W204" s="56"/>
      <c r="X204" s="56"/>
      <c r="Y204" s="56"/>
      <c r="Z204" s="56"/>
      <c r="AA204" s="56"/>
    </row>
    <row r="205" spans="1:27" ht="15.75" customHeight="1" x14ac:dyDescent="0.3">
      <c r="A205" s="43"/>
      <c r="B205" s="43"/>
      <c r="C205" s="38"/>
      <c r="D205" s="38"/>
      <c r="E205" s="38"/>
      <c r="F205" s="38"/>
      <c r="G205" s="45"/>
      <c r="H205" s="83"/>
      <c r="I205" s="45"/>
      <c r="J205" s="45"/>
      <c r="K205" s="38"/>
      <c r="L205" s="56"/>
      <c r="M205" s="56"/>
      <c r="N205" s="56"/>
      <c r="O205" s="56"/>
      <c r="P205" s="56"/>
      <c r="Q205" s="56"/>
      <c r="R205" s="56"/>
      <c r="S205" s="56"/>
      <c r="T205" s="56"/>
      <c r="U205" s="56"/>
      <c r="V205" s="56"/>
      <c r="W205" s="56"/>
      <c r="X205" s="56"/>
      <c r="Y205" s="56"/>
      <c r="Z205" s="56"/>
      <c r="AA205" s="56"/>
    </row>
    <row r="206" spans="1:27" ht="15.75" customHeight="1" x14ac:dyDescent="0.3">
      <c r="A206" s="43"/>
      <c r="B206" s="43"/>
      <c r="C206" s="38"/>
      <c r="D206" s="38"/>
      <c r="E206" s="38"/>
      <c r="F206" s="38"/>
      <c r="G206" s="45"/>
      <c r="H206" s="83"/>
      <c r="I206" s="45"/>
      <c r="J206" s="45"/>
      <c r="K206" s="38"/>
      <c r="L206" s="56"/>
      <c r="M206" s="56"/>
      <c r="N206" s="56"/>
      <c r="O206" s="56"/>
      <c r="P206" s="56"/>
      <c r="Q206" s="56"/>
      <c r="R206" s="56"/>
      <c r="S206" s="56"/>
      <c r="T206" s="56"/>
      <c r="U206" s="56"/>
      <c r="V206" s="56"/>
      <c r="W206" s="56"/>
      <c r="X206" s="56"/>
      <c r="Y206" s="56"/>
      <c r="Z206" s="56"/>
      <c r="AA206" s="56"/>
    </row>
    <row r="207" spans="1:27" ht="15.75" customHeight="1" x14ac:dyDescent="0.3">
      <c r="A207" s="43"/>
      <c r="B207" s="43"/>
      <c r="C207" s="38"/>
      <c r="D207" s="38"/>
      <c r="E207" s="38"/>
      <c r="F207" s="38"/>
      <c r="G207" s="45"/>
      <c r="H207" s="83"/>
      <c r="I207" s="45"/>
      <c r="J207" s="45"/>
      <c r="K207" s="38"/>
      <c r="L207" s="56"/>
      <c r="M207" s="56"/>
      <c r="N207" s="56"/>
      <c r="O207" s="56"/>
      <c r="P207" s="56"/>
      <c r="Q207" s="56"/>
      <c r="R207" s="56"/>
      <c r="S207" s="56"/>
      <c r="T207" s="56"/>
      <c r="U207" s="56"/>
      <c r="V207" s="56"/>
      <c r="W207" s="56"/>
      <c r="X207" s="56"/>
      <c r="Y207" s="56"/>
      <c r="Z207" s="56"/>
      <c r="AA207" s="56"/>
    </row>
    <row r="208" spans="1:27" ht="15.75" customHeight="1" x14ac:dyDescent="0.3">
      <c r="A208" s="43"/>
      <c r="B208" s="43"/>
      <c r="C208" s="38"/>
      <c r="D208" s="38"/>
      <c r="E208" s="38"/>
      <c r="F208" s="38"/>
      <c r="G208" s="45"/>
      <c r="H208" s="83"/>
      <c r="I208" s="45"/>
      <c r="J208" s="45"/>
      <c r="K208" s="38"/>
      <c r="L208" s="56"/>
      <c r="M208" s="56"/>
      <c r="N208" s="56"/>
      <c r="O208" s="56"/>
      <c r="P208" s="56"/>
      <c r="Q208" s="56"/>
      <c r="R208" s="56"/>
      <c r="S208" s="56"/>
      <c r="T208" s="56"/>
      <c r="U208" s="56"/>
      <c r="V208" s="56"/>
      <c r="W208" s="56"/>
      <c r="X208" s="56"/>
      <c r="Y208" s="56"/>
      <c r="Z208" s="56"/>
      <c r="AA208" s="56"/>
    </row>
    <row r="209" spans="1:27" ht="15.75" customHeight="1" x14ac:dyDescent="0.3">
      <c r="A209" s="43"/>
      <c r="B209" s="43"/>
      <c r="C209" s="38"/>
      <c r="D209" s="38"/>
      <c r="E209" s="38"/>
      <c r="F209" s="38"/>
      <c r="G209" s="45"/>
      <c r="H209" s="83"/>
      <c r="I209" s="45"/>
      <c r="J209" s="45"/>
      <c r="K209" s="38"/>
      <c r="L209" s="56"/>
      <c r="M209" s="56"/>
      <c r="N209" s="56"/>
      <c r="O209" s="56"/>
      <c r="P209" s="56"/>
      <c r="Q209" s="56"/>
      <c r="R209" s="56"/>
      <c r="S209" s="56"/>
      <c r="T209" s="56"/>
      <c r="U209" s="56"/>
      <c r="V209" s="56"/>
      <c r="W209" s="56"/>
      <c r="X209" s="56"/>
      <c r="Y209" s="56"/>
      <c r="Z209" s="56"/>
      <c r="AA209" s="56"/>
    </row>
    <row r="210" spans="1:27" ht="15.75" customHeight="1" x14ac:dyDescent="0.3">
      <c r="A210" s="43"/>
      <c r="B210" s="43"/>
      <c r="C210" s="38"/>
      <c r="D210" s="38"/>
      <c r="E210" s="38"/>
      <c r="F210" s="38"/>
      <c r="G210" s="45"/>
      <c r="H210" s="83"/>
      <c r="I210" s="45"/>
      <c r="J210" s="45"/>
      <c r="K210" s="38"/>
      <c r="L210" s="56"/>
      <c r="M210" s="56"/>
      <c r="N210" s="56"/>
      <c r="O210" s="56"/>
      <c r="P210" s="56"/>
      <c r="Q210" s="56"/>
      <c r="R210" s="56"/>
      <c r="S210" s="56"/>
      <c r="T210" s="56"/>
      <c r="U210" s="56"/>
      <c r="V210" s="56"/>
      <c r="W210" s="56"/>
      <c r="X210" s="56"/>
      <c r="Y210" s="56"/>
      <c r="Z210" s="56"/>
      <c r="AA210" s="56"/>
    </row>
    <row r="211" spans="1:27" ht="15.75" customHeight="1" x14ac:dyDescent="0.3">
      <c r="A211" s="43"/>
      <c r="B211" s="43"/>
      <c r="C211" s="38"/>
      <c r="D211" s="38"/>
      <c r="E211" s="38"/>
      <c r="F211" s="38"/>
      <c r="G211" s="45"/>
      <c r="H211" s="83"/>
      <c r="I211" s="45"/>
      <c r="J211" s="45"/>
      <c r="K211" s="38"/>
      <c r="L211" s="56"/>
      <c r="M211" s="56"/>
      <c r="N211" s="56"/>
      <c r="O211" s="56"/>
      <c r="P211" s="56"/>
      <c r="Q211" s="56"/>
      <c r="R211" s="56"/>
      <c r="S211" s="56"/>
      <c r="T211" s="56"/>
      <c r="U211" s="56"/>
      <c r="V211" s="56"/>
      <c r="W211" s="56"/>
      <c r="X211" s="56"/>
      <c r="Y211" s="56"/>
      <c r="Z211" s="56"/>
      <c r="AA211" s="56"/>
    </row>
    <row r="212" spans="1:27" ht="15.75" customHeight="1" x14ac:dyDescent="0.3">
      <c r="A212" s="43"/>
      <c r="B212" s="43"/>
      <c r="C212" s="38"/>
      <c r="D212" s="38"/>
      <c r="E212" s="38"/>
      <c r="F212" s="38"/>
      <c r="G212" s="45"/>
      <c r="H212" s="83"/>
      <c r="I212" s="45"/>
      <c r="J212" s="45"/>
      <c r="K212" s="38"/>
      <c r="L212" s="56"/>
      <c r="M212" s="56"/>
      <c r="N212" s="56"/>
      <c r="O212" s="56"/>
      <c r="P212" s="56"/>
      <c r="Q212" s="56"/>
      <c r="R212" s="56"/>
      <c r="S212" s="56"/>
      <c r="T212" s="56"/>
      <c r="U212" s="56"/>
      <c r="V212" s="56"/>
      <c r="W212" s="56"/>
      <c r="X212" s="56"/>
      <c r="Y212" s="56"/>
      <c r="Z212" s="56"/>
      <c r="AA212" s="56"/>
    </row>
    <row r="213" spans="1:27" ht="15.75" customHeight="1" x14ac:dyDescent="0.3">
      <c r="A213" s="43"/>
      <c r="B213" s="43"/>
      <c r="C213" s="38"/>
      <c r="D213" s="38"/>
      <c r="E213" s="38"/>
      <c r="F213" s="38"/>
      <c r="G213" s="45"/>
      <c r="H213" s="83"/>
      <c r="I213" s="45"/>
      <c r="J213" s="45"/>
      <c r="K213" s="38"/>
      <c r="L213" s="56"/>
      <c r="M213" s="56"/>
      <c r="N213" s="56"/>
      <c r="O213" s="56"/>
      <c r="P213" s="56"/>
      <c r="Q213" s="56"/>
      <c r="R213" s="56"/>
      <c r="S213" s="56"/>
      <c r="T213" s="56"/>
      <c r="U213" s="56"/>
      <c r="V213" s="56"/>
      <c r="W213" s="56"/>
      <c r="X213" s="56"/>
      <c r="Y213" s="56"/>
      <c r="Z213" s="56"/>
      <c r="AA213" s="56"/>
    </row>
    <row r="214" spans="1:27" ht="15.75" customHeight="1" x14ac:dyDescent="0.3">
      <c r="A214" s="43"/>
      <c r="B214" s="43"/>
      <c r="C214" s="38"/>
      <c r="D214" s="38"/>
      <c r="E214" s="38"/>
      <c r="F214" s="38"/>
      <c r="G214" s="45"/>
      <c r="H214" s="83"/>
      <c r="I214" s="45"/>
      <c r="J214" s="45"/>
      <c r="K214" s="38"/>
      <c r="L214" s="56"/>
      <c r="M214" s="56"/>
      <c r="N214" s="56"/>
      <c r="O214" s="56"/>
      <c r="P214" s="56"/>
      <c r="Q214" s="56"/>
      <c r="R214" s="56"/>
      <c r="S214" s="56"/>
      <c r="T214" s="56"/>
      <c r="U214" s="56"/>
      <c r="V214" s="56"/>
      <c r="W214" s="56"/>
      <c r="X214" s="56"/>
      <c r="Y214" s="56"/>
      <c r="Z214" s="56"/>
      <c r="AA214" s="56"/>
    </row>
    <row r="215" spans="1:27" ht="15.75" customHeight="1" x14ac:dyDescent="0.3">
      <c r="A215" s="43"/>
      <c r="B215" s="43"/>
      <c r="C215" s="38"/>
      <c r="D215" s="38"/>
      <c r="E215" s="38"/>
      <c r="F215" s="38"/>
      <c r="G215" s="45"/>
      <c r="H215" s="83"/>
      <c r="I215" s="45"/>
      <c r="J215" s="45"/>
      <c r="K215" s="38"/>
      <c r="L215" s="56"/>
      <c r="M215" s="56"/>
      <c r="N215" s="56"/>
      <c r="O215" s="56"/>
      <c r="P215" s="56"/>
      <c r="Q215" s="56"/>
      <c r="R215" s="56"/>
      <c r="S215" s="56"/>
      <c r="T215" s="56"/>
      <c r="U215" s="56"/>
      <c r="V215" s="56"/>
      <c r="W215" s="56"/>
      <c r="X215" s="56"/>
      <c r="Y215" s="56"/>
      <c r="Z215" s="56"/>
      <c r="AA215" s="56"/>
    </row>
    <row r="216" spans="1:27" ht="15.75" customHeight="1" x14ac:dyDescent="0.3">
      <c r="A216" s="43"/>
      <c r="B216" s="43"/>
      <c r="C216" s="38"/>
      <c r="D216" s="38"/>
      <c r="E216" s="38"/>
      <c r="F216" s="38"/>
      <c r="G216" s="45"/>
      <c r="H216" s="83"/>
      <c r="I216" s="45"/>
      <c r="J216" s="45"/>
      <c r="K216" s="38"/>
      <c r="L216" s="56"/>
      <c r="M216" s="56"/>
      <c r="N216" s="56"/>
      <c r="O216" s="56"/>
      <c r="P216" s="56"/>
      <c r="Q216" s="56"/>
      <c r="R216" s="56"/>
      <c r="S216" s="56"/>
      <c r="T216" s="56"/>
      <c r="U216" s="56"/>
      <c r="V216" s="56"/>
      <c r="W216" s="56"/>
      <c r="X216" s="56"/>
      <c r="Y216" s="56"/>
      <c r="Z216" s="56"/>
      <c r="AA216" s="56"/>
    </row>
    <row r="217" spans="1:27" ht="15.75" customHeight="1" x14ac:dyDescent="0.3">
      <c r="A217" s="43"/>
      <c r="B217" s="43"/>
      <c r="C217" s="38"/>
      <c r="D217" s="38"/>
      <c r="E217" s="38"/>
      <c r="F217" s="38"/>
      <c r="G217" s="45"/>
      <c r="H217" s="83"/>
      <c r="I217" s="45"/>
      <c r="J217" s="45"/>
      <c r="K217" s="38"/>
      <c r="L217" s="56"/>
      <c r="M217" s="56"/>
      <c r="N217" s="56"/>
      <c r="O217" s="56"/>
      <c r="P217" s="56"/>
      <c r="Q217" s="56"/>
      <c r="R217" s="56"/>
      <c r="S217" s="56"/>
      <c r="T217" s="56"/>
      <c r="U217" s="56"/>
      <c r="V217" s="56"/>
      <c r="W217" s="56"/>
      <c r="X217" s="56"/>
      <c r="Y217" s="56"/>
      <c r="Z217" s="56"/>
      <c r="AA217" s="56"/>
    </row>
    <row r="218" spans="1:27" ht="15.75" customHeight="1" x14ac:dyDescent="0.3">
      <c r="A218" s="43"/>
      <c r="B218" s="43"/>
      <c r="C218" s="38"/>
      <c r="D218" s="38"/>
      <c r="E218" s="38"/>
      <c r="F218" s="38"/>
      <c r="G218" s="45"/>
      <c r="H218" s="83"/>
      <c r="I218" s="45"/>
      <c r="J218" s="45"/>
      <c r="K218" s="38"/>
      <c r="L218" s="56"/>
      <c r="M218" s="56"/>
      <c r="N218" s="56"/>
      <c r="O218" s="56"/>
      <c r="P218" s="56"/>
      <c r="Q218" s="56"/>
      <c r="R218" s="56"/>
      <c r="S218" s="56"/>
      <c r="T218" s="56"/>
      <c r="U218" s="56"/>
      <c r="V218" s="56"/>
      <c r="W218" s="56"/>
      <c r="X218" s="56"/>
      <c r="Y218" s="56"/>
      <c r="Z218" s="56"/>
      <c r="AA218" s="56"/>
    </row>
    <row r="219" spans="1:27" ht="15.75" customHeight="1" x14ac:dyDescent="0.3">
      <c r="A219" s="43"/>
      <c r="B219" s="43"/>
      <c r="C219" s="38"/>
      <c r="D219" s="38"/>
      <c r="E219" s="38"/>
      <c r="F219" s="38"/>
      <c r="G219" s="45"/>
      <c r="H219" s="83"/>
      <c r="I219" s="45"/>
      <c r="J219" s="45"/>
      <c r="K219" s="38"/>
      <c r="L219" s="56"/>
      <c r="M219" s="56"/>
      <c r="N219" s="56"/>
      <c r="O219" s="56"/>
      <c r="P219" s="56"/>
      <c r="Q219" s="56"/>
      <c r="R219" s="56"/>
      <c r="S219" s="56"/>
      <c r="T219" s="56"/>
      <c r="U219" s="56"/>
      <c r="V219" s="56"/>
      <c r="W219" s="56"/>
      <c r="X219" s="56"/>
      <c r="Y219" s="56"/>
      <c r="Z219" s="56"/>
      <c r="AA219" s="56"/>
    </row>
    <row r="220" spans="1:27" ht="15.75" customHeight="1" x14ac:dyDescent="0.3">
      <c r="A220" s="43"/>
      <c r="B220" s="43"/>
      <c r="C220" s="38"/>
      <c r="D220" s="38"/>
      <c r="E220" s="38"/>
      <c r="F220" s="38"/>
      <c r="G220" s="45"/>
      <c r="H220" s="83"/>
      <c r="I220" s="45"/>
      <c r="J220" s="45"/>
      <c r="K220" s="38"/>
      <c r="L220" s="56"/>
      <c r="M220" s="56"/>
      <c r="N220" s="56"/>
      <c r="O220" s="56"/>
      <c r="P220" s="56"/>
      <c r="Q220" s="56"/>
      <c r="R220" s="56"/>
      <c r="S220" s="56"/>
      <c r="T220" s="56"/>
      <c r="U220" s="56"/>
      <c r="V220" s="56"/>
      <c r="W220" s="56"/>
      <c r="X220" s="56"/>
      <c r="Y220" s="56"/>
      <c r="Z220" s="56"/>
      <c r="AA220" s="56"/>
    </row>
    <row r="221" spans="1:27" ht="15.75" customHeight="1" x14ac:dyDescent="0.3">
      <c r="A221" s="43"/>
      <c r="B221" s="43"/>
      <c r="C221" s="38"/>
      <c r="D221" s="38"/>
      <c r="E221" s="38"/>
      <c r="F221" s="38"/>
      <c r="G221" s="45"/>
      <c r="H221" s="83"/>
      <c r="I221" s="45"/>
      <c r="J221" s="45"/>
      <c r="K221" s="38"/>
      <c r="L221" s="56"/>
      <c r="M221" s="56"/>
      <c r="N221" s="56"/>
      <c r="O221" s="56"/>
      <c r="P221" s="56"/>
      <c r="Q221" s="56"/>
      <c r="R221" s="56"/>
      <c r="S221" s="56"/>
      <c r="T221" s="56"/>
      <c r="U221" s="56"/>
      <c r="V221" s="56"/>
      <c r="W221" s="56"/>
      <c r="X221" s="56"/>
      <c r="Y221" s="56"/>
      <c r="Z221" s="56"/>
      <c r="AA221" s="56"/>
    </row>
    <row r="222" spans="1:27" ht="15.75" customHeight="1" x14ac:dyDescent="0.3">
      <c r="A222" s="43"/>
      <c r="B222" s="43"/>
      <c r="C222" s="38"/>
      <c r="D222" s="38"/>
      <c r="E222" s="38"/>
      <c r="F222" s="38"/>
      <c r="G222" s="45"/>
      <c r="H222" s="83"/>
      <c r="I222" s="45"/>
      <c r="J222" s="45"/>
      <c r="K222" s="38"/>
      <c r="L222" s="56"/>
      <c r="M222" s="56"/>
      <c r="N222" s="56"/>
      <c r="O222" s="56"/>
      <c r="P222" s="56"/>
      <c r="Q222" s="56"/>
      <c r="R222" s="56"/>
      <c r="S222" s="56"/>
      <c r="T222" s="56"/>
      <c r="U222" s="56"/>
      <c r="V222" s="56"/>
      <c r="W222" s="56"/>
      <c r="X222" s="56"/>
      <c r="Y222" s="56"/>
      <c r="Z222" s="56"/>
      <c r="AA222" s="56"/>
    </row>
    <row r="223" spans="1:27" ht="15.75" customHeight="1" x14ac:dyDescent="0.3">
      <c r="A223" s="43"/>
      <c r="B223" s="43"/>
      <c r="C223" s="38"/>
      <c r="D223" s="38"/>
      <c r="E223" s="38"/>
      <c r="F223" s="38"/>
      <c r="G223" s="45"/>
      <c r="H223" s="83"/>
      <c r="I223" s="45"/>
      <c r="J223" s="45"/>
      <c r="K223" s="38"/>
      <c r="L223" s="56"/>
      <c r="M223" s="56"/>
      <c r="N223" s="56"/>
      <c r="O223" s="56"/>
      <c r="P223" s="56"/>
      <c r="Q223" s="56"/>
      <c r="R223" s="56"/>
      <c r="S223" s="56"/>
      <c r="T223" s="56"/>
      <c r="U223" s="56"/>
      <c r="V223" s="56"/>
      <c r="W223" s="56"/>
      <c r="X223" s="56"/>
      <c r="Y223" s="56"/>
      <c r="Z223" s="56"/>
      <c r="AA223" s="56"/>
    </row>
    <row r="224" spans="1:27" ht="15.75" customHeight="1" x14ac:dyDescent="0.3">
      <c r="A224" s="43"/>
      <c r="B224" s="43"/>
      <c r="C224" s="38"/>
      <c r="D224" s="38"/>
      <c r="E224" s="38"/>
      <c r="F224" s="38"/>
      <c r="G224" s="45"/>
      <c r="H224" s="83"/>
      <c r="I224" s="45"/>
      <c r="J224" s="45"/>
      <c r="K224" s="38"/>
      <c r="L224" s="56"/>
      <c r="M224" s="56"/>
      <c r="N224" s="56"/>
      <c r="O224" s="56"/>
      <c r="P224" s="56"/>
      <c r="Q224" s="56"/>
      <c r="R224" s="56"/>
      <c r="S224" s="56"/>
      <c r="T224" s="56"/>
      <c r="U224" s="56"/>
      <c r="V224" s="56"/>
      <c r="W224" s="56"/>
      <c r="X224" s="56"/>
      <c r="Y224" s="56"/>
      <c r="Z224" s="56"/>
      <c r="AA224" s="56"/>
    </row>
    <row r="225" spans="1:27" ht="15.75" customHeight="1" x14ac:dyDescent="0.3">
      <c r="A225" s="43"/>
      <c r="B225" s="43"/>
      <c r="C225" s="38"/>
      <c r="D225" s="38"/>
      <c r="E225" s="38"/>
      <c r="F225" s="38"/>
      <c r="G225" s="45"/>
      <c r="H225" s="83"/>
      <c r="I225" s="45"/>
      <c r="J225" s="45"/>
      <c r="K225" s="38"/>
      <c r="L225" s="56"/>
      <c r="M225" s="56"/>
      <c r="N225" s="56"/>
      <c r="O225" s="56"/>
      <c r="P225" s="56"/>
      <c r="Q225" s="56"/>
      <c r="R225" s="56"/>
      <c r="S225" s="56"/>
      <c r="T225" s="56"/>
      <c r="U225" s="56"/>
      <c r="V225" s="56"/>
      <c r="W225" s="56"/>
      <c r="X225" s="56"/>
      <c r="Y225" s="56"/>
      <c r="Z225" s="56"/>
      <c r="AA225" s="56"/>
    </row>
    <row r="226" spans="1:27" ht="15.75" customHeight="1" x14ac:dyDescent="0.3">
      <c r="A226" s="43"/>
      <c r="B226" s="43"/>
      <c r="C226" s="38"/>
      <c r="D226" s="38"/>
      <c r="E226" s="38"/>
      <c r="F226" s="38"/>
      <c r="G226" s="45"/>
      <c r="H226" s="83"/>
      <c r="I226" s="45"/>
      <c r="J226" s="45"/>
      <c r="K226" s="38"/>
      <c r="L226" s="56"/>
      <c r="M226" s="56"/>
      <c r="N226" s="56"/>
      <c r="O226" s="56"/>
      <c r="P226" s="56"/>
      <c r="Q226" s="56"/>
      <c r="R226" s="56"/>
      <c r="S226" s="56"/>
      <c r="T226" s="56"/>
      <c r="U226" s="56"/>
      <c r="V226" s="56"/>
      <c r="W226" s="56"/>
      <c r="X226" s="56"/>
      <c r="Y226" s="56"/>
      <c r="Z226" s="56"/>
      <c r="AA226" s="56"/>
    </row>
    <row r="227" spans="1:27" ht="15.75" customHeight="1" x14ac:dyDescent="0.3">
      <c r="A227" s="43"/>
      <c r="B227" s="43"/>
      <c r="C227" s="38"/>
      <c r="D227" s="38"/>
      <c r="E227" s="38"/>
      <c r="F227" s="38"/>
      <c r="G227" s="45"/>
      <c r="H227" s="83"/>
      <c r="I227" s="45"/>
      <c r="J227" s="45"/>
      <c r="K227" s="38"/>
      <c r="L227" s="56"/>
      <c r="M227" s="56"/>
      <c r="N227" s="56"/>
      <c r="O227" s="56"/>
      <c r="P227" s="56"/>
      <c r="Q227" s="56"/>
      <c r="R227" s="56"/>
      <c r="S227" s="56"/>
      <c r="T227" s="56"/>
      <c r="U227" s="56"/>
      <c r="V227" s="56"/>
      <c r="W227" s="56"/>
      <c r="X227" s="56"/>
      <c r="Y227" s="56"/>
      <c r="Z227" s="56"/>
      <c r="AA227" s="56"/>
    </row>
    <row r="228" spans="1:27" ht="15.75" customHeight="1" x14ac:dyDescent="0.3">
      <c r="A228" s="43"/>
      <c r="B228" s="43"/>
      <c r="C228" s="38"/>
      <c r="D228" s="38"/>
      <c r="E228" s="38"/>
      <c r="F228" s="38"/>
      <c r="G228" s="45"/>
      <c r="H228" s="83"/>
      <c r="I228" s="45"/>
      <c r="J228" s="45"/>
      <c r="K228" s="38"/>
      <c r="L228" s="56"/>
      <c r="M228" s="56"/>
      <c r="N228" s="56"/>
      <c r="O228" s="56"/>
      <c r="P228" s="56"/>
      <c r="Q228" s="56"/>
      <c r="R228" s="56"/>
      <c r="S228" s="56"/>
      <c r="T228" s="56"/>
      <c r="U228" s="56"/>
      <c r="V228" s="56"/>
      <c r="W228" s="56"/>
      <c r="X228" s="56"/>
      <c r="Y228" s="56"/>
      <c r="Z228" s="56"/>
      <c r="AA228" s="56"/>
    </row>
    <row r="229" spans="1:27" ht="15.75" customHeight="1" x14ac:dyDescent="0.3">
      <c r="A229" s="43"/>
      <c r="B229" s="43"/>
      <c r="C229" s="38"/>
      <c r="D229" s="38"/>
      <c r="E229" s="38"/>
      <c r="F229" s="38"/>
      <c r="G229" s="45"/>
      <c r="H229" s="83"/>
      <c r="I229" s="45"/>
      <c r="J229" s="45"/>
      <c r="K229" s="38"/>
      <c r="L229" s="56"/>
      <c r="M229" s="56"/>
      <c r="N229" s="56"/>
      <c r="O229" s="56"/>
      <c r="P229" s="56"/>
      <c r="Q229" s="56"/>
      <c r="R229" s="56"/>
      <c r="S229" s="56"/>
      <c r="T229" s="56"/>
      <c r="U229" s="56"/>
      <c r="V229" s="56"/>
      <c r="W229" s="56"/>
      <c r="X229" s="56"/>
      <c r="Y229" s="56"/>
      <c r="Z229" s="56"/>
      <c r="AA229" s="56"/>
    </row>
    <row r="230" spans="1:27" ht="15.75" customHeight="1" x14ac:dyDescent="0.3">
      <c r="A230" s="43"/>
      <c r="B230" s="43"/>
      <c r="C230" s="38"/>
      <c r="D230" s="38"/>
      <c r="E230" s="38"/>
      <c r="F230" s="38"/>
      <c r="G230" s="45"/>
      <c r="H230" s="83"/>
      <c r="I230" s="45"/>
      <c r="J230" s="45"/>
      <c r="K230" s="38"/>
      <c r="L230" s="56"/>
      <c r="M230" s="56"/>
      <c r="N230" s="56"/>
      <c r="O230" s="56"/>
      <c r="P230" s="56"/>
      <c r="Q230" s="56"/>
      <c r="R230" s="56"/>
      <c r="S230" s="56"/>
      <c r="T230" s="56"/>
      <c r="U230" s="56"/>
      <c r="V230" s="56"/>
      <c r="W230" s="56"/>
      <c r="X230" s="56"/>
      <c r="Y230" s="56"/>
      <c r="Z230" s="56"/>
      <c r="AA230" s="56"/>
    </row>
    <row r="231" spans="1:27" ht="15.75" customHeight="1" x14ac:dyDescent="0.3">
      <c r="A231" s="43"/>
      <c r="B231" s="43"/>
      <c r="C231" s="38"/>
      <c r="D231" s="38"/>
      <c r="E231" s="38"/>
      <c r="F231" s="38"/>
      <c r="G231" s="45"/>
      <c r="H231" s="83"/>
      <c r="I231" s="45"/>
      <c r="J231" s="45"/>
      <c r="K231" s="38"/>
      <c r="L231" s="56"/>
      <c r="M231" s="56"/>
      <c r="N231" s="56"/>
      <c r="O231" s="56"/>
      <c r="P231" s="56"/>
      <c r="Q231" s="56"/>
      <c r="R231" s="56"/>
      <c r="S231" s="56"/>
      <c r="T231" s="56"/>
      <c r="U231" s="56"/>
      <c r="V231" s="56"/>
      <c r="W231" s="56"/>
      <c r="X231" s="56"/>
      <c r="Y231" s="56"/>
      <c r="Z231" s="56"/>
      <c r="AA231" s="56"/>
    </row>
    <row r="232" spans="1:27" ht="15.75" customHeight="1" x14ac:dyDescent="0.3">
      <c r="A232" s="43"/>
      <c r="B232" s="43"/>
      <c r="C232" s="38"/>
      <c r="D232" s="38"/>
      <c r="E232" s="38"/>
      <c r="F232" s="38"/>
      <c r="G232" s="45"/>
      <c r="H232" s="83"/>
      <c r="I232" s="45"/>
      <c r="J232" s="45"/>
      <c r="K232" s="38"/>
      <c r="L232" s="56"/>
      <c r="M232" s="56"/>
      <c r="N232" s="56"/>
      <c r="O232" s="56"/>
      <c r="P232" s="56"/>
      <c r="Q232" s="56"/>
      <c r="R232" s="56"/>
      <c r="S232" s="56"/>
      <c r="T232" s="56"/>
      <c r="U232" s="56"/>
      <c r="V232" s="56"/>
      <c r="W232" s="56"/>
      <c r="X232" s="56"/>
      <c r="Y232" s="56"/>
      <c r="Z232" s="56"/>
      <c r="AA232" s="56"/>
    </row>
    <row r="233" spans="1:27" ht="15.75" customHeight="1" x14ac:dyDescent="0.3">
      <c r="A233" s="43"/>
      <c r="B233" s="43"/>
      <c r="C233" s="38"/>
      <c r="D233" s="38"/>
      <c r="E233" s="38"/>
      <c r="F233" s="38"/>
      <c r="G233" s="45"/>
      <c r="H233" s="83"/>
      <c r="I233" s="45"/>
      <c r="J233" s="45"/>
      <c r="K233" s="38"/>
      <c r="L233" s="56"/>
      <c r="M233" s="56"/>
      <c r="N233" s="56"/>
      <c r="O233" s="56"/>
      <c r="P233" s="56"/>
      <c r="Q233" s="56"/>
      <c r="R233" s="56"/>
      <c r="S233" s="56"/>
      <c r="T233" s="56"/>
      <c r="U233" s="56"/>
      <c r="V233" s="56"/>
      <c r="W233" s="56"/>
      <c r="X233" s="56"/>
      <c r="Y233" s="56"/>
      <c r="Z233" s="56"/>
      <c r="AA233" s="56"/>
    </row>
    <row r="234" spans="1:27" ht="15.75" customHeight="1" x14ac:dyDescent="0.3">
      <c r="A234" s="43"/>
      <c r="B234" s="43"/>
      <c r="C234" s="38"/>
      <c r="D234" s="38"/>
      <c r="E234" s="38"/>
      <c r="F234" s="38"/>
      <c r="G234" s="45"/>
      <c r="H234" s="83"/>
      <c r="I234" s="45"/>
      <c r="J234" s="45"/>
      <c r="K234" s="38"/>
      <c r="L234" s="56"/>
      <c r="M234" s="56"/>
      <c r="N234" s="56"/>
      <c r="O234" s="56"/>
      <c r="P234" s="56"/>
      <c r="Q234" s="56"/>
      <c r="R234" s="56"/>
      <c r="S234" s="56"/>
      <c r="T234" s="56"/>
      <c r="U234" s="56"/>
      <c r="V234" s="56"/>
      <c r="W234" s="56"/>
      <c r="X234" s="56"/>
      <c r="Y234" s="56"/>
      <c r="Z234" s="56"/>
      <c r="AA234" s="56"/>
    </row>
    <row r="235" spans="1:27" ht="15.75" customHeight="1" x14ac:dyDescent="0.3">
      <c r="A235" s="43"/>
      <c r="B235" s="43"/>
      <c r="C235" s="38"/>
      <c r="D235" s="38"/>
      <c r="E235" s="38"/>
      <c r="F235" s="38"/>
      <c r="G235" s="45"/>
      <c r="H235" s="83"/>
      <c r="I235" s="45"/>
      <c r="J235" s="45"/>
      <c r="K235" s="38"/>
      <c r="L235" s="56"/>
      <c r="M235" s="56"/>
      <c r="N235" s="56"/>
      <c r="O235" s="56"/>
      <c r="P235" s="56"/>
      <c r="Q235" s="56"/>
      <c r="R235" s="56"/>
      <c r="S235" s="56"/>
      <c r="T235" s="56"/>
      <c r="U235" s="56"/>
      <c r="V235" s="56"/>
      <c r="W235" s="56"/>
      <c r="X235" s="56"/>
      <c r="Y235" s="56"/>
      <c r="Z235" s="56"/>
      <c r="AA235" s="56"/>
    </row>
    <row r="236" spans="1:27" ht="15.75" customHeight="1" x14ac:dyDescent="0.3"/>
    <row r="237" spans="1:27" ht="15.75" customHeight="1" x14ac:dyDescent="0.3"/>
    <row r="238" spans="1:27" ht="15.75" customHeight="1" x14ac:dyDescent="0.3"/>
    <row r="239" spans="1:27" ht="15.75" customHeight="1" x14ac:dyDescent="0.3"/>
    <row r="240" spans="1:27"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conditionalFormatting sqref="A74:B75 A76:K76 D74:K75 A2:K73 D77:D97">
    <cfRule type="expression" dxfId="29" priority="5">
      <formula>UPPER($I2)="PAGO"</formula>
    </cfRule>
  </conditionalFormatting>
  <conditionalFormatting sqref="C74:C75">
    <cfRule type="expression" dxfId="28" priority="7">
      <formula>UPPER($I73)="PAGO"</formula>
    </cfRule>
  </conditionalFormatting>
  <conditionalFormatting sqref="C77">
    <cfRule type="expression" dxfId="27" priority="4">
      <formula>UPPER($I77)="PAGO"</formula>
    </cfRule>
  </conditionalFormatting>
  <conditionalFormatting sqref="D102:D103">
    <cfRule type="expression" dxfId="26" priority="3">
      <formula>UPPER($I102)="PAGO"</formula>
    </cfRule>
  </conditionalFormatting>
  <conditionalFormatting sqref="D108:D109">
    <cfRule type="expression" dxfId="25" priority="2">
      <formula>UPPER($I108)="PAGO"</formula>
    </cfRule>
  </conditionalFormatting>
  <conditionalFormatting sqref="D116">
    <cfRule type="expression" dxfId="24" priority="1">
      <formula>UPPER($I116)="PAGO"</formula>
    </cfRule>
  </conditionalFormatting>
  <pageMargins left="0.511811024" right="0.511811024" top="0.78740157499999996" bottom="0.78740157499999996" header="0" footer="0"/>
  <pageSetup paperSize="9" orientation="portrait"/>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Planilha4!$A$1:$A$20</xm:f>
          </x14:formula1>
          <xm:sqref>D2:D120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056E-6426-4D00-9F8F-EE60AD1D5FD1}">
  <sheetPr>
    <tabColor rgb="FF007A37"/>
  </sheetPr>
  <dimension ref="A1:V165"/>
  <sheetViews>
    <sheetView topLeftCell="C1" workbookViewId="0">
      <selection activeCell="M2" sqref="M2"/>
    </sheetView>
  </sheetViews>
  <sheetFormatPr defaultRowHeight="14.4" x14ac:dyDescent="0.3"/>
  <cols>
    <col min="1" max="1" width="10.5546875" style="124" bestFit="1" customWidth="1"/>
    <col min="2" max="2" width="70.88671875" customWidth="1"/>
    <col min="3" max="3" width="12.77734375" bestFit="1" customWidth="1"/>
    <col min="4" max="4" width="16" bestFit="1" customWidth="1"/>
    <col min="5" max="5" width="11.21875" style="125" bestFit="1" customWidth="1"/>
    <col min="6" max="6" width="17.21875" bestFit="1" customWidth="1"/>
    <col min="7" max="7" width="13.33203125" bestFit="1" customWidth="1"/>
    <col min="8" max="8" width="4.21875" customWidth="1"/>
    <col min="9" max="9" width="14.5546875" customWidth="1"/>
    <col min="10" max="10" width="12.21875" customWidth="1"/>
    <col min="11" max="11" width="4.44140625" customWidth="1"/>
    <col min="12" max="12" width="12.77734375" bestFit="1" customWidth="1"/>
    <col min="13" max="13" width="11.88671875" bestFit="1" customWidth="1"/>
    <col min="14" max="14" width="5.33203125" customWidth="1"/>
    <col min="15" max="15" width="51" bestFit="1" customWidth="1"/>
    <col min="16" max="16" width="13.33203125" bestFit="1" customWidth="1"/>
    <col min="17" max="17" width="4.5546875" customWidth="1"/>
    <col min="18" max="18" width="17.21875" bestFit="1" customWidth="1"/>
    <col min="19" max="19" width="13.33203125" bestFit="1" customWidth="1"/>
    <col min="20" max="20" width="4.33203125" customWidth="1"/>
    <col min="21" max="21" width="25.21875" bestFit="1" customWidth="1"/>
    <col min="22" max="22" width="11.21875" style="57" bestFit="1" customWidth="1"/>
  </cols>
  <sheetData>
    <row r="1" spans="1:22" x14ac:dyDescent="0.3">
      <c r="A1" s="126" t="s">
        <v>92</v>
      </c>
      <c r="B1" s="127" t="s">
        <v>155</v>
      </c>
      <c r="C1" s="127" t="s">
        <v>176</v>
      </c>
      <c r="D1" s="127" t="s">
        <v>156</v>
      </c>
      <c r="E1" s="128" t="s">
        <v>157</v>
      </c>
      <c r="F1" s="8" t="s">
        <v>4</v>
      </c>
      <c r="G1" t="s">
        <v>179</v>
      </c>
      <c r="I1" s="86" t="s">
        <v>175</v>
      </c>
      <c r="J1" s="57">
        <f t="shared" ref="J1:J6" si="0">VLOOKUP(I1,F:G,2,0)</f>
        <v>594.75</v>
      </c>
      <c r="L1" t="s">
        <v>178</v>
      </c>
      <c r="M1" s="92">
        <f>J1-J2</f>
        <v>11.599999999999909</v>
      </c>
    </row>
    <row r="2" spans="1:22" x14ac:dyDescent="0.3">
      <c r="A2" s="122">
        <v>45704</v>
      </c>
      <c r="B2" s="90" t="s">
        <v>182</v>
      </c>
      <c r="C2" s="90" t="s">
        <v>177</v>
      </c>
      <c r="D2" s="90" t="s">
        <v>168</v>
      </c>
      <c r="E2" s="91">
        <v>7.32000000000005</v>
      </c>
      <c r="F2" s="9" t="s">
        <v>178</v>
      </c>
      <c r="G2" s="85">
        <v>1177.9000000000001</v>
      </c>
      <c r="I2" s="86" t="s">
        <v>235</v>
      </c>
      <c r="J2" s="57">
        <f t="shared" si="0"/>
        <v>583.15000000000009</v>
      </c>
      <c r="L2" t="s">
        <v>177</v>
      </c>
      <c r="M2" s="92">
        <f>(J5+J6-J4)</f>
        <v>962.32999999999947</v>
      </c>
      <c r="O2" s="8" t="s">
        <v>4</v>
      </c>
      <c r="P2" t="s">
        <v>179</v>
      </c>
      <c r="R2" s="8" t="s">
        <v>4</v>
      </c>
      <c r="S2" t="s">
        <v>179</v>
      </c>
    </row>
    <row r="3" spans="1:22" x14ac:dyDescent="0.3">
      <c r="A3" s="122">
        <v>45704</v>
      </c>
      <c r="B3" s="90" t="s">
        <v>160</v>
      </c>
      <c r="C3" s="90" t="s">
        <v>177</v>
      </c>
      <c r="D3" s="90" t="s">
        <v>168</v>
      </c>
      <c r="E3" s="91">
        <v>27.41</v>
      </c>
      <c r="F3" s="86" t="s">
        <v>175</v>
      </c>
      <c r="G3" s="85">
        <v>594.75</v>
      </c>
      <c r="I3" s="86" t="s">
        <v>173</v>
      </c>
      <c r="J3" s="57">
        <f t="shared" si="0"/>
        <v>4965.6000000000004</v>
      </c>
      <c r="M3" s="57">
        <v>0</v>
      </c>
      <c r="N3" s="89"/>
      <c r="O3" s="9" t="s">
        <v>159</v>
      </c>
      <c r="P3" s="85">
        <v>1395.92</v>
      </c>
      <c r="R3" s="9" t="s">
        <v>173</v>
      </c>
      <c r="S3" s="85">
        <v>4965.6000000000004</v>
      </c>
      <c r="T3" s="57"/>
      <c r="U3" s="9" t="s">
        <v>173</v>
      </c>
      <c r="V3" s="57">
        <f>VLOOKUP(U3,R:S,2,0)</f>
        <v>4965.6000000000004</v>
      </c>
    </row>
    <row r="4" spans="1:22" x14ac:dyDescent="0.3">
      <c r="A4" s="122">
        <v>45704</v>
      </c>
      <c r="B4" s="90" t="s">
        <v>161</v>
      </c>
      <c r="C4" s="90" t="s">
        <v>177</v>
      </c>
      <c r="D4" s="90" t="s">
        <v>168</v>
      </c>
      <c r="E4" s="91">
        <v>80</v>
      </c>
      <c r="F4" s="86" t="s">
        <v>235</v>
      </c>
      <c r="G4" s="85">
        <v>583.15000000000009</v>
      </c>
      <c r="I4" s="86" t="s">
        <v>169</v>
      </c>
      <c r="J4" s="57">
        <f t="shared" si="0"/>
        <v>2559.61</v>
      </c>
      <c r="M4" s="92">
        <f>SUM(M1:M3)</f>
        <v>973.92999999999938</v>
      </c>
      <c r="O4" s="9" t="s">
        <v>231</v>
      </c>
      <c r="P4" s="85">
        <v>687.63</v>
      </c>
      <c r="R4" s="9" t="s">
        <v>169</v>
      </c>
      <c r="S4" s="85">
        <v>2559.61</v>
      </c>
      <c r="U4" s="9" t="s">
        <v>159</v>
      </c>
      <c r="V4" s="57">
        <f>VLOOKUP(U4,O:P,2,0)</f>
        <v>1395.92</v>
      </c>
    </row>
    <row r="5" spans="1:22" x14ac:dyDescent="0.3">
      <c r="A5" s="122">
        <v>45704</v>
      </c>
      <c r="B5" s="90" t="s">
        <v>162</v>
      </c>
      <c r="C5" s="90" t="s">
        <v>177</v>
      </c>
      <c r="D5" s="90" t="s">
        <v>168</v>
      </c>
      <c r="E5" s="91">
        <v>20</v>
      </c>
      <c r="F5" s="9" t="s">
        <v>177</v>
      </c>
      <c r="G5" s="85">
        <v>11047.150000000001</v>
      </c>
      <c r="I5" s="86" t="s">
        <v>168</v>
      </c>
      <c r="J5" s="57">
        <f t="shared" si="0"/>
        <v>3515.5699999999997</v>
      </c>
      <c r="O5" s="9" t="s">
        <v>232</v>
      </c>
      <c r="P5" s="85">
        <v>315.87</v>
      </c>
      <c r="R5" s="9" t="s">
        <v>175</v>
      </c>
      <c r="S5" s="85">
        <v>594.75</v>
      </c>
      <c r="V5" s="57">
        <f>V3-V4</f>
        <v>3569.6800000000003</v>
      </c>
    </row>
    <row r="6" spans="1:22" x14ac:dyDescent="0.3">
      <c r="A6" s="122">
        <v>45706</v>
      </c>
      <c r="B6" s="90" t="s">
        <v>158</v>
      </c>
      <c r="C6" s="90" t="s">
        <v>177</v>
      </c>
      <c r="D6" s="90" t="s">
        <v>158</v>
      </c>
      <c r="E6" s="91">
        <v>0.06</v>
      </c>
      <c r="F6" s="86" t="s">
        <v>173</v>
      </c>
      <c r="G6" s="85">
        <v>4965.6000000000004</v>
      </c>
      <c r="I6" s="86" t="s">
        <v>158</v>
      </c>
      <c r="J6" s="57">
        <f t="shared" si="0"/>
        <v>6.370000000000001</v>
      </c>
      <c r="O6" s="9" t="s">
        <v>170</v>
      </c>
      <c r="P6" s="85">
        <v>182.4</v>
      </c>
      <c r="R6" s="9" t="s">
        <v>168</v>
      </c>
      <c r="S6" s="85">
        <v>3515.5699999999997</v>
      </c>
    </row>
    <row r="7" spans="1:22" x14ac:dyDescent="0.3">
      <c r="A7" s="122">
        <v>45707</v>
      </c>
      <c r="B7" s="90" t="s">
        <v>158</v>
      </c>
      <c r="C7" s="90" t="s">
        <v>177</v>
      </c>
      <c r="D7" s="90" t="s">
        <v>158</v>
      </c>
      <c r="E7" s="91">
        <v>0.05</v>
      </c>
      <c r="F7" s="86" t="s">
        <v>169</v>
      </c>
      <c r="G7" s="85">
        <v>2559.61</v>
      </c>
      <c r="M7" s="89"/>
      <c r="O7" s="9" t="s">
        <v>186</v>
      </c>
      <c r="P7" s="85">
        <v>145.75</v>
      </c>
      <c r="R7" s="9" t="s">
        <v>158</v>
      </c>
      <c r="S7" s="85">
        <v>6.370000000000001</v>
      </c>
    </row>
    <row r="8" spans="1:22" x14ac:dyDescent="0.3">
      <c r="A8" s="122">
        <v>45708</v>
      </c>
      <c r="B8" s="90" t="s">
        <v>158</v>
      </c>
      <c r="C8" s="90" t="s">
        <v>177</v>
      </c>
      <c r="D8" s="90" t="s">
        <v>158</v>
      </c>
      <c r="E8" s="91">
        <v>0.06</v>
      </c>
      <c r="F8" s="86" t="s">
        <v>168</v>
      </c>
      <c r="G8" s="85">
        <v>3515.5699999999997</v>
      </c>
      <c r="O8" s="9" t="s">
        <v>163</v>
      </c>
      <c r="P8" s="85">
        <v>393.34000000000003</v>
      </c>
      <c r="R8" s="9" t="s">
        <v>5</v>
      </c>
      <c r="S8" s="85"/>
    </row>
    <row r="9" spans="1:22" x14ac:dyDescent="0.3">
      <c r="A9" s="122">
        <v>45709</v>
      </c>
      <c r="B9" s="90" t="s">
        <v>158</v>
      </c>
      <c r="C9" s="90" t="s">
        <v>177</v>
      </c>
      <c r="D9" s="90" t="s">
        <v>158</v>
      </c>
      <c r="E9" s="91">
        <v>0.05</v>
      </c>
      <c r="F9" s="86" t="s">
        <v>158</v>
      </c>
      <c r="G9" s="85">
        <v>6.370000000000001</v>
      </c>
      <c r="O9" s="9" t="s">
        <v>233</v>
      </c>
      <c r="P9" s="85">
        <v>326.33000000000004</v>
      </c>
      <c r="R9" s="9" t="s">
        <v>235</v>
      </c>
      <c r="S9" s="85">
        <v>583.15000000000009</v>
      </c>
    </row>
    <row r="10" spans="1:22" x14ac:dyDescent="0.3">
      <c r="A10" s="122">
        <v>45710</v>
      </c>
      <c r="B10" s="90" t="s">
        <v>163</v>
      </c>
      <c r="C10" s="90" t="s">
        <v>177</v>
      </c>
      <c r="D10" s="90" t="s">
        <v>173</v>
      </c>
      <c r="E10" s="91">
        <v>76.63</v>
      </c>
      <c r="F10" s="9" t="s">
        <v>5</v>
      </c>
      <c r="G10" s="85"/>
      <c r="O10" s="9" t="s">
        <v>174</v>
      </c>
      <c r="P10" s="85">
        <v>594.75</v>
      </c>
    </row>
    <row r="11" spans="1:22" x14ac:dyDescent="0.3">
      <c r="A11" s="122">
        <v>45710</v>
      </c>
      <c r="B11" s="90" t="s">
        <v>170</v>
      </c>
      <c r="C11" s="90" t="s">
        <v>177</v>
      </c>
      <c r="D11" s="90" t="s">
        <v>173</v>
      </c>
      <c r="E11" s="91">
        <v>44.4</v>
      </c>
      <c r="F11" s="86" t="s">
        <v>5</v>
      </c>
      <c r="G11" s="85"/>
      <c r="O11" s="9" t="s">
        <v>158</v>
      </c>
      <c r="P11" s="85">
        <v>6.370000000000001</v>
      </c>
    </row>
    <row r="12" spans="1:22" x14ac:dyDescent="0.3">
      <c r="A12" s="122">
        <v>45711</v>
      </c>
      <c r="B12" s="90" t="s">
        <v>164</v>
      </c>
      <c r="C12" s="90" t="s">
        <v>177</v>
      </c>
      <c r="D12" s="90" t="s">
        <v>168</v>
      </c>
      <c r="E12" s="91">
        <v>40</v>
      </c>
      <c r="O12" s="9" t="s">
        <v>234</v>
      </c>
      <c r="P12" s="85">
        <v>583.15000000000009</v>
      </c>
    </row>
    <row r="13" spans="1:22" x14ac:dyDescent="0.3">
      <c r="A13" s="122">
        <v>45711</v>
      </c>
      <c r="B13" s="90" t="s">
        <v>165</v>
      </c>
      <c r="C13" s="90" t="s">
        <v>177</v>
      </c>
      <c r="D13" s="90" t="s">
        <v>168</v>
      </c>
      <c r="E13" s="91">
        <v>40</v>
      </c>
      <c r="O13" s="9" t="s">
        <v>182</v>
      </c>
      <c r="P13" s="85">
        <v>7.32000000000005</v>
      </c>
    </row>
    <row r="14" spans="1:22" x14ac:dyDescent="0.3">
      <c r="A14" s="122">
        <v>45711</v>
      </c>
      <c r="B14" s="90" t="s">
        <v>166</v>
      </c>
      <c r="C14" s="90" t="s">
        <v>177</v>
      </c>
      <c r="D14" s="90" t="s">
        <v>168</v>
      </c>
      <c r="E14" s="91">
        <v>20</v>
      </c>
      <c r="O14" s="9" t="s">
        <v>185</v>
      </c>
      <c r="P14" s="85">
        <v>200</v>
      </c>
    </row>
    <row r="15" spans="1:22" x14ac:dyDescent="0.3">
      <c r="A15" s="122">
        <v>45712</v>
      </c>
      <c r="B15" s="90" t="s">
        <v>163</v>
      </c>
      <c r="C15" s="90" t="s">
        <v>177</v>
      </c>
      <c r="D15" s="90" t="s">
        <v>173</v>
      </c>
      <c r="E15" s="91">
        <v>259.72000000000003</v>
      </c>
      <c r="O15" s="9" t="s">
        <v>229</v>
      </c>
      <c r="P15" s="85">
        <v>60</v>
      </c>
    </row>
    <row r="16" spans="1:22" x14ac:dyDescent="0.3">
      <c r="A16" s="122">
        <v>45712</v>
      </c>
      <c r="B16" s="90" t="s">
        <v>158</v>
      </c>
      <c r="C16" s="90" t="s">
        <v>177</v>
      </c>
      <c r="D16" s="90" t="s">
        <v>158</v>
      </c>
      <c r="E16" s="91">
        <v>0.05</v>
      </c>
      <c r="O16" s="9" t="s">
        <v>204</v>
      </c>
      <c r="P16" s="85">
        <v>100</v>
      </c>
    </row>
    <row r="17" spans="1:16" x14ac:dyDescent="0.3">
      <c r="A17" s="122">
        <v>45713</v>
      </c>
      <c r="B17" s="90" t="s">
        <v>158</v>
      </c>
      <c r="C17" s="90" t="s">
        <v>177</v>
      </c>
      <c r="D17" s="90" t="s">
        <v>158</v>
      </c>
      <c r="E17" s="91">
        <v>0.09</v>
      </c>
      <c r="O17" s="9" t="s">
        <v>196</v>
      </c>
      <c r="P17" s="85">
        <v>80</v>
      </c>
    </row>
    <row r="18" spans="1:16" x14ac:dyDescent="0.3">
      <c r="A18" s="122">
        <v>45714</v>
      </c>
      <c r="B18" s="90" t="s">
        <v>158</v>
      </c>
      <c r="C18" s="90" t="s">
        <v>177</v>
      </c>
      <c r="D18" s="90" t="s">
        <v>158</v>
      </c>
      <c r="E18" s="91">
        <v>0.09</v>
      </c>
      <c r="O18" s="9" t="s">
        <v>230</v>
      </c>
      <c r="P18" s="85">
        <v>40</v>
      </c>
    </row>
    <row r="19" spans="1:16" x14ac:dyDescent="0.3">
      <c r="A19" s="122">
        <v>45715</v>
      </c>
      <c r="B19" s="90" t="s">
        <v>158</v>
      </c>
      <c r="C19" s="90" t="s">
        <v>177</v>
      </c>
      <c r="D19" s="90" t="s">
        <v>158</v>
      </c>
      <c r="E19" s="91">
        <v>0.09</v>
      </c>
      <c r="O19" s="9" t="s">
        <v>228</v>
      </c>
      <c r="P19" s="85">
        <v>40</v>
      </c>
    </row>
    <row r="20" spans="1:16" x14ac:dyDescent="0.3">
      <c r="A20" s="122">
        <v>45715</v>
      </c>
      <c r="B20" s="90" t="s">
        <v>167</v>
      </c>
      <c r="C20" s="90" t="s">
        <v>177</v>
      </c>
      <c r="D20" s="90" t="s">
        <v>168</v>
      </c>
      <c r="E20" s="91">
        <v>455</v>
      </c>
      <c r="O20" s="9" t="s">
        <v>161</v>
      </c>
      <c r="P20" s="85">
        <v>160</v>
      </c>
    </row>
    <row r="21" spans="1:16" x14ac:dyDescent="0.3">
      <c r="A21" s="122">
        <v>45716</v>
      </c>
      <c r="B21" s="90" t="s">
        <v>159</v>
      </c>
      <c r="C21" s="90" t="s">
        <v>177</v>
      </c>
      <c r="D21" s="90" t="s">
        <v>169</v>
      </c>
      <c r="E21" s="91">
        <v>121.03</v>
      </c>
      <c r="O21" s="9" t="s">
        <v>162</v>
      </c>
      <c r="P21" s="85">
        <v>20</v>
      </c>
    </row>
    <row r="22" spans="1:16" x14ac:dyDescent="0.3">
      <c r="A22" s="122">
        <v>45716</v>
      </c>
      <c r="B22" s="90" t="s">
        <v>158</v>
      </c>
      <c r="C22" s="90" t="s">
        <v>177</v>
      </c>
      <c r="D22" s="90" t="s">
        <v>158</v>
      </c>
      <c r="E22" s="91">
        <v>0.27</v>
      </c>
      <c r="O22" s="9" t="s">
        <v>195</v>
      </c>
      <c r="P22" s="85">
        <v>20</v>
      </c>
    </row>
    <row r="23" spans="1:16" x14ac:dyDescent="0.3">
      <c r="A23" s="122">
        <v>45717</v>
      </c>
      <c r="B23" s="90" t="s">
        <v>164</v>
      </c>
      <c r="C23" s="90" t="s">
        <v>177</v>
      </c>
      <c r="D23" s="90" t="s">
        <v>168</v>
      </c>
      <c r="E23" s="91">
        <v>40</v>
      </c>
      <c r="H23" s="89"/>
      <c r="O23" s="9" t="s">
        <v>197</v>
      </c>
      <c r="P23" s="85">
        <v>105</v>
      </c>
    </row>
    <row r="24" spans="1:16" x14ac:dyDescent="0.3">
      <c r="A24" s="122">
        <v>45717</v>
      </c>
      <c r="B24" s="90" t="s">
        <v>164</v>
      </c>
      <c r="C24" s="90" t="s">
        <v>177</v>
      </c>
      <c r="D24" s="90" t="s">
        <v>168</v>
      </c>
      <c r="E24" s="91">
        <v>40</v>
      </c>
      <c r="H24" s="89"/>
      <c r="O24" s="9" t="s">
        <v>200</v>
      </c>
      <c r="P24" s="85">
        <v>20</v>
      </c>
    </row>
    <row r="25" spans="1:16" x14ac:dyDescent="0.3">
      <c r="A25" s="122">
        <v>45717</v>
      </c>
      <c r="B25" s="90" t="s">
        <v>170</v>
      </c>
      <c r="C25" s="90" t="s">
        <v>177</v>
      </c>
      <c r="D25" s="90" t="s">
        <v>169</v>
      </c>
      <c r="E25" s="91">
        <v>138</v>
      </c>
      <c r="O25" s="9" t="s">
        <v>164</v>
      </c>
      <c r="P25" s="85">
        <v>180</v>
      </c>
    </row>
    <row r="26" spans="1:16" x14ac:dyDescent="0.3">
      <c r="A26" s="122">
        <v>45717</v>
      </c>
      <c r="B26" s="90" t="s">
        <v>164</v>
      </c>
      <c r="C26" s="90" t="s">
        <v>177</v>
      </c>
      <c r="D26" s="90" t="s">
        <v>168</v>
      </c>
      <c r="E26" s="91">
        <v>20</v>
      </c>
      <c r="O26" s="9" t="s">
        <v>199</v>
      </c>
      <c r="P26" s="85">
        <v>40</v>
      </c>
    </row>
    <row r="27" spans="1:16" x14ac:dyDescent="0.3">
      <c r="A27" s="122">
        <v>45717</v>
      </c>
      <c r="B27" s="90" t="s">
        <v>171</v>
      </c>
      <c r="C27" s="90" t="s">
        <v>177</v>
      </c>
      <c r="D27" s="90" t="s">
        <v>168</v>
      </c>
      <c r="E27" s="91">
        <v>40</v>
      </c>
      <c r="O27" s="9" t="s">
        <v>226</v>
      </c>
      <c r="P27" s="85">
        <v>60</v>
      </c>
    </row>
    <row r="28" spans="1:16" x14ac:dyDescent="0.3">
      <c r="A28" s="122">
        <v>45717</v>
      </c>
      <c r="B28" s="90" t="s">
        <v>172</v>
      </c>
      <c r="C28" s="90" t="s">
        <v>177</v>
      </c>
      <c r="D28" s="90" t="s">
        <v>168</v>
      </c>
      <c r="E28" s="91">
        <v>20</v>
      </c>
      <c r="O28" s="9" t="s">
        <v>165</v>
      </c>
      <c r="P28" s="85">
        <v>40</v>
      </c>
    </row>
    <row r="29" spans="1:16" x14ac:dyDescent="0.3">
      <c r="A29" s="122">
        <v>45718</v>
      </c>
      <c r="B29" s="90" t="s">
        <v>174</v>
      </c>
      <c r="C29" s="90" t="s">
        <v>178</v>
      </c>
      <c r="D29" s="90" t="s">
        <v>175</v>
      </c>
      <c r="E29" s="91">
        <v>183.65</v>
      </c>
      <c r="O29" s="9" t="s">
        <v>172</v>
      </c>
      <c r="P29" s="85">
        <v>20</v>
      </c>
    </row>
    <row r="30" spans="1:16" x14ac:dyDescent="0.3">
      <c r="A30" s="122">
        <v>45720</v>
      </c>
      <c r="B30" s="90" t="s">
        <v>161</v>
      </c>
      <c r="C30" s="90" t="s">
        <v>177</v>
      </c>
      <c r="D30" s="90" t="s">
        <v>168</v>
      </c>
      <c r="E30" s="91">
        <v>60</v>
      </c>
      <c r="O30" s="9" t="s">
        <v>166</v>
      </c>
      <c r="P30" s="85">
        <v>20</v>
      </c>
    </row>
    <row r="31" spans="1:16" x14ac:dyDescent="0.3">
      <c r="A31" s="122">
        <v>45721</v>
      </c>
      <c r="B31" s="90" t="s">
        <v>158</v>
      </c>
      <c r="C31" s="90" t="s">
        <v>177</v>
      </c>
      <c r="D31" s="90" t="s">
        <v>158</v>
      </c>
      <c r="E31" s="91">
        <v>0.23</v>
      </c>
      <c r="O31" s="9" t="s">
        <v>202</v>
      </c>
      <c r="P31" s="85">
        <v>30</v>
      </c>
    </row>
    <row r="32" spans="1:16" x14ac:dyDescent="0.3">
      <c r="A32" s="122">
        <v>45721</v>
      </c>
      <c r="B32" s="123" t="s">
        <v>185</v>
      </c>
      <c r="C32" s="90" t="s">
        <v>177</v>
      </c>
      <c r="D32" s="90" t="s">
        <v>169</v>
      </c>
      <c r="E32" s="91">
        <v>200</v>
      </c>
      <c r="O32" s="9" t="s">
        <v>160</v>
      </c>
      <c r="P32" s="85">
        <v>27.41</v>
      </c>
    </row>
    <row r="33" spans="1:16" x14ac:dyDescent="0.3">
      <c r="A33" s="122">
        <v>45722</v>
      </c>
      <c r="B33" s="90" t="s">
        <v>158</v>
      </c>
      <c r="C33" s="90" t="s">
        <v>177</v>
      </c>
      <c r="D33" s="90" t="s">
        <v>158</v>
      </c>
      <c r="E33" s="91">
        <v>0.26</v>
      </c>
      <c r="O33" s="9" t="s">
        <v>171</v>
      </c>
      <c r="P33" s="85">
        <v>60</v>
      </c>
    </row>
    <row r="34" spans="1:16" x14ac:dyDescent="0.3">
      <c r="A34" s="122">
        <v>45723</v>
      </c>
      <c r="B34" s="90" t="s">
        <v>158</v>
      </c>
      <c r="C34" s="90" t="s">
        <v>177</v>
      </c>
      <c r="D34" s="90" t="s">
        <v>158</v>
      </c>
      <c r="E34" s="91">
        <v>0.19</v>
      </c>
      <c r="O34" s="9" t="s">
        <v>198</v>
      </c>
      <c r="P34" s="85">
        <v>40</v>
      </c>
    </row>
    <row r="35" spans="1:16" x14ac:dyDescent="0.3">
      <c r="A35" s="122">
        <v>45723</v>
      </c>
      <c r="B35" s="90" t="s">
        <v>163</v>
      </c>
      <c r="C35" s="90" t="s">
        <v>177</v>
      </c>
      <c r="D35" s="90" t="s">
        <v>169</v>
      </c>
      <c r="E35" s="91">
        <v>56.99</v>
      </c>
      <c r="O35" s="9" t="s">
        <v>203</v>
      </c>
      <c r="P35" s="85">
        <v>100</v>
      </c>
    </row>
    <row r="36" spans="1:16" x14ac:dyDescent="0.3">
      <c r="A36" s="122">
        <v>45723</v>
      </c>
      <c r="B36" s="90" t="s">
        <v>186</v>
      </c>
      <c r="C36" s="90" t="s">
        <v>177</v>
      </c>
      <c r="D36" s="90" t="s">
        <v>169</v>
      </c>
      <c r="E36" s="91">
        <v>123.25</v>
      </c>
      <c r="O36" s="9" t="s">
        <v>167</v>
      </c>
      <c r="P36" s="85">
        <v>455</v>
      </c>
    </row>
    <row r="37" spans="1:16" x14ac:dyDescent="0.3">
      <c r="A37" s="122">
        <v>45724</v>
      </c>
      <c r="B37" s="90" t="s">
        <v>195</v>
      </c>
      <c r="C37" s="90" t="s">
        <v>177</v>
      </c>
      <c r="D37" s="90" t="s">
        <v>168</v>
      </c>
      <c r="E37" s="91">
        <v>20</v>
      </c>
      <c r="O37" s="9" t="s">
        <v>227</v>
      </c>
      <c r="P37" s="85">
        <v>58.04</v>
      </c>
    </row>
    <row r="38" spans="1:16" x14ac:dyDescent="0.3">
      <c r="A38" s="122">
        <v>45724</v>
      </c>
      <c r="B38" s="90" t="s">
        <v>161</v>
      </c>
      <c r="C38" s="90" t="s">
        <v>177</v>
      </c>
      <c r="D38" s="90" t="s">
        <v>168</v>
      </c>
      <c r="E38" s="91">
        <v>20</v>
      </c>
      <c r="O38" s="9" t="s">
        <v>5</v>
      </c>
      <c r="P38" s="85"/>
    </row>
    <row r="39" spans="1:16" x14ac:dyDescent="0.3">
      <c r="A39" s="122">
        <v>45724</v>
      </c>
      <c r="B39" s="90" t="s">
        <v>196</v>
      </c>
      <c r="C39" s="90" t="s">
        <v>177</v>
      </c>
      <c r="D39" s="90" t="s">
        <v>168</v>
      </c>
      <c r="E39" s="91">
        <v>30</v>
      </c>
      <c r="O39" s="9" t="s">
        <v>239</v>
      </c>
      <c r="P39" s="85">
        <v>95</v>
      </c>
    </row>
    <row r="40" spans="1:16" x14ac:dyDescent="0.3">
      <c r="A40" s="122">
        <v>45724</v>
      </c>
      <c r="B40" s="90" t="s">
        <v>197</v>
      </c>
      <c r="C40" s="90" t="s">
        <v>177</v>
      </c>
      <c r="D40" s="90" t="s">
        <v>168</v>
      </c>
      <c r="E40" s="91">
        <v>25</v>
      </c>
      <c r="O40" s="9" t="s">
        <v>240</v>
      </c>
      <c r="P40" s="85">
        <v>14</v>
      </c>
    </row>
    <row r="41" spans="1:16" x14ac:dyDescent="0.3">
      <c r="A41" s="122">
        <v>45724</v>
      </c>
      <c r="B41" s="90" t="s">
        <v>198</v>
      </c>
      <c r="C41" s="90" t="s">
        <v>177</v>
      </c>
      <c r="D41" s="90" t="s">
        <v>168</v>
      </c>
      <c r="E41" s="91">
        <v>20</v>
      </c>
      <c r="O41" s="9" t="s">
        <v>237</v>
      </c>
      <c r="P41" s="85">
        <v>240</v>
      </c>
    </row>
    <row r="42" spans="1:16" x14ac:dyDescent="0.3">
      <c r="A42" s="122">
        <v>45724</v>
      </c>
      <c r="B42" s="90" t="s">
        <v>199</v>
      </c>
      <c r="C42" s="90" t="s">
        <v>177</v>
      </c>
      <c r="D42" s="90" t="s">
        <v>168</v>
      </c>
      <c r="E42" s="91">
        <v>40</v>
      </c>
      <c r="O42" s="9" t="s">
        <v>238</v>
      </c>
      <c r="P42" s="85">
        <v>614.16999999999996</v>
      </c>
    </row>
    <row r="43" spans="1:16" x14ac:dyDescent="0.3">
      <c r="A43" s="122">
        <v>45724</v>
      </c>
      <c r="B43" s="90" t="s">
        <v>174</v>
      </c>
      <c r="C43" s="90" t="s">
        <v>178</v>
      </c>
      <c r="D43" s="90" t="s">
        <v>175</v>
      </c>
      <c r="E43" s="91">
        <v>61.1</v>
      </c>
      <c r="O43" s="9" t="s">
        <v>241</v>
      </c>
      <c r="P43" s="85">
        <v>176.8</v>
      </c>
    </row>
    <row r="44" spans="1:16" x14ac:dyDescent="0.3">
      <c r="A44" s="122">
        <v>45725</v>
      </c>
      <c r="B44" s="90" t="s">
        <v>200</v>
      </c>
      <c r="C44" s="90" t="s">
        <v>177</v>
      </c>
      <c r="D44" s="90" t="s">
        <v>168</v>
      </c>
      <c r="E44" s="91">
        <v>20</v>
      </c>
      <c r="O44" s="9" t="s">
        <v>246</v>
      </c>
      <c r="P44" s="85">
        <v>50</v>
      </c>
    </row>
    <row r="45" spans="1:16" x14ac:dyDescent="0.3">
      <c r="A45" s="122">
        <v>45725</v>
      </c>
      <c r="B45" s="90" t="s">
        <v>202</v>
      </c>
      <c r="C45" s="90" t="s">
        <v>177</v>
      </c>
      <c r="D45" s="90" t="s">
        <v>168</v>
      </c>
      <c r="E45" s="91">
        <v>30</v>
      </c>
      <c r="O45" s="9" t="s">
        <v>247</v>
      </c>
      <c r="P45" s="85">
        <v>141.69999999999999</v>
      </c>
    </row>
    <row r="46" spans="1:16" x14ac:dyDescent="0.3">
      <c r="A46" s="122">
        <v>45725</v>
      </c>
      <c r="B46" s="90" t="s">
        <v>203</v>
      </c>
      <c r="C46" s="90" t="s">
        <v>177</v>
      </c>
      <c r="D46" s="90" t="s">
        <v>168</v>
      </c>
      <c r="E46" s="91">
        <v>100</v>
      </c>
      <c r="O46" s="9" t="s">
        <v>249</v>
      </c>
      <c r="P46" s="85">
        <v>200</v>
      </c>
    </row>
    <row r="47" spans="1:16" x14ac:dyDescent="0.3">
      <c r="A47" s="122">
        <v>45725</v>
      </c>
      <c r="B47" s="123" t="s">
        <v>204</v>
      </c>
      <c r="C47" s="90" t="s">
        <v>177</v>
      </c>
      <c r="D47" s="90" t="s">
        <v>169</v>
      </c>
      <c r="E47" s="91">
        <v>100</v>
      </c>
      <c r="O47" s="9" t="s">
        <v>253</v>
      </c>
      <c r="P47" s="85">
        <v>371</v>
      </c>
    </row>
    <row r="48" spans="1:16" x14ac:dyDescent="0.3">
      <c r="A48" s="122">
        <v>45726</v>
      </c>
      <c r="B48" s="90" t="s">
        <v>158</v>
      </c>
      <c r="C48" s="90" t="s">
        <v>177</v>
      </c>
      <c r="D48" s="90" t="s">
        <v>158</v>
      </c>
      <c r="E48" s="91">
        <v>0.1</v>
      </c>
      <c r="O48" s="9" t="s">
        <v>255</v>
      </c>
      <c r="P48" s="85">
        <v>60</v>
      </c>
    </row>
    <row r="49" spans="1:16" x14ac:dyDescent="0.3">
      <c r="A49" s="122">
        <v>45727</v>
      </c>
      <c r="B49" s="90" t="s">
        <v>158</v>
      </c>
      <c r="C49" s="90" t="s">
        <v>177</v>
      </c>
      <c r="D49" s="90" t="s">
        <v>158</v>
      </c>
      <c r="E49" s="91">
        <v>0.19</v>
      </c>
      <c r="O49" s="9" t="s">
        <v>252</v>
      </c>
      <c r="P49" s="85">
        <v>20</v>
      </c>
    </row>
    <row r="50" spans="1:16" x14ac:dyDescent="0.3">
      <c r="A50" s="122">
        <v>45728</v>
      </c>
      <c r="B50" s="90" t="s">
        <v>158</v>
      </c>
      <c r="C50" s="90" t="s">
        <v>177</v>
      </c>
      <c r="D50" s="90" t="s">
        <v>158</v>
      </c>
      <c r="E50" s="91">
        <v>0.2</v>
      </c>
      <c r="O50" s="9" t="s">
        <v>265</v>
      </c>
      <c r="P50" s="85">
        <v>529</v>
      </c>
    </row>
    <row r="51" spans="1:16" x14ac:dyDescent="0.3">
      <c r="A51" s="122">
        <v>45729</v>
      </c>
      <c r="B51" s="90" t="s">
        <v>158</v>
      </c>
      <c r="C51" s="90" t="s">
        <v>177</v>
      </c>
      <c r="D51" s="90" t="s">
        <v>158</v>
      </c>
      <c r="E51" s="91">
        <v>0.18</v>
      </c>
      <c r="O51" s="9" t="s">
        <v>266</v>
      </c>
      <c r="P51" s="85">
        <v>20</v>
      </c>
    </row>
    <row r="52" spans="1:16" x14ac:dyDescent="0.3">
      <c r="A52" s="122">
        <v>45730</v>
      </c>
      <c r="B52" s="90" t="s">
        <v>158</v>
      </c>
      <c r="C52" s="90" t="s">
        <v>177</v>
      </c>
      <c r="D52" s="90" t="s">
        <v>158</v>
      </c>
      <c r="E52" s="91">
        <v>0.2</v>
      </c>
      <c r="O52" s="9" t="s">
        <v>267</v>
      </c>
      <c r="P52" s="85">
        <v>4.12</v>
      </c>
    </row>
    <row r="53" spans="1:16" x14ac:dyDescent="0.3">
      <c r="A53" s="122">
        <v>45730</v>
      </c>
      <c r="B53" s="90" t="s">
        <v>186</v>
      </c>
      <c r="C53" s="90" t="s">
        <v>177</v>
      </c>
      <c r="D53" s="90" t="s">
        <v>169</v>
      </c>
      <c r="E53" s="91">
        <v>22.5</v>
      </c>
      <c r="O53" s="9" t="s">
        <v>268</v>
      </c>
      <c r="P53" s="85">
        <v>180.56</v>
      </c>
    </row>
    <row r="54" spans="1:16" x14ac:dyDescent="0.3">
      <c r="A54" s="122">
        <v>45731</v>
      </c>
      <c r="B54" s="90" t="s">
        <v>226</v>
      </c>
      <c r="C54" s="90" t="s">
        <v>177</v>
      </c>
      <c r="D54" s="90" t="s">
        <v>168</v>
      </c>
      <c r="E54" s="91">
        <v>20</v>
      </c>
      <c r="O54" s="9" t="s">
        <v>269</v>
      </c>
      <c r="P54" s="85">
        <v>0</v>
      </c>
    </row>
    <row r="55" spans="1:16" x14ac:dyDescent="0.3">
      <c r="A55" s="122">
        <v>45731</v>
      </c>
      <c r="B55" s="123" t="s">
        <v>227</v>
      </c>
      <c r="C55" s="90" t="s">
        <v>177</v>
      </c>
      <c r="D55" s="90" t="s">
        <v>168</v>
      </c>
      <c r="E55" s="91">
        <v>58.04</v>
      </c>
      <c r="O55" s="9" t="s">
        <v>270</v>
      </c>
      <c r="P55" s="85">
        <v>53.26</v>
      </c>
    </row>
    <row r="56" spans="1:16" x14ac:dyDescent="0.3">
      <c r="A56" s="122">
        <v>45731</v>
      </c>
      <c r="B56" s="90" t="s">
        <v>164</v>
      </c>
      <c r="C56" s="90" t="s">
        <v>177</v>
      </c>
      <c r="D56" s="90" t="s">
        <v>168</v>
      </c>
      <c r="E56" s="91">
        <v>40</v>
      </c>
      <c r="O56" s="9" t="s">
        <v>271</v>
      </c>
      <c r="P56" s="85">
        <v>88.8</v>
      </c>
    </row>
    <row r="57" spans="1:16" x14ac:dyDescent="0.3">
      <c r="A57" s="122">
        <v>45732</v>
      </c>
      <c r="B57" s="90" t="s">
        <v>196</v>
      </c>
      <c r="C57" s="90" t="s">
        <v>177</v>
      </c>
      <c r="D57" s="90" t="s">
        <v>168</v>
      </c>
      <c r="E57" s="91">
        <v>50</v>
      </c>
      <c r="O57" s="9" t="s">
        <v>276</v>
      </c>
      <c r="P57" s="85">
        <v>651.72</v>
      </c>
    </row>
    <row r="58" spans="1:16" x14ac:dyDescent="0.3">
      <c r="A58" s="122">
        <v>45732</v>
      </c>
      <c r="B58" s="123" t="s">
        <v>228</v>
      </c>
      <c r="C58" s="90" t="s">
        <v>177</v>
      </c>
      <c r="D58" s="90" t="s">
        <v>168</v>
      </c>
      <c r="E58" s="91">
        <v>20</v>
      </c>
      <c r="O58" s="9" t="s">
        <v>277</v>
      </c>
      <c r="P58" s="85">
        <v>62.5</v>
      </c>
    </row>
    <row r="59" spans="1:16" x14ac:dyDescent="0.3">
      <c r="A59" s="122">
        <v>45732</v>
      </c>
      <c r="B59" s="123" t="s">
        <v>229</v>
      </c>
      <c r="C59" s="90" t="s">
        <v>177</v>
      </c>
      <c r="D59" s="90" t="s">
        <v>169</v>
      </c>
      <c r="E59" s="91">
        <v>60</v>
      </c>
      <c r="O59" s="9" t="s">
        <v>272</v>
      </c>
      <c r="P59" s="85">
        <v>70.260000000000005</v>
      </c>
    </row>
    <row r="60" spans="1:16" x14ac:dyDescent="0.3">
      <c r="A60" s="122">
        <v>45732</v>
      </c>
      <c r="B60" s="90" t="s">
        <v>174</v>
      </c>
      <c r="C60" s="90" t="s">
        <v>178</v>
      </c>
      <c r="D60" s="90" t="s">
        <v>175</v>
      </c>
      <c r="E60" s="91">
        <v>150</v>
      </c>
      <c r="O60" s="9" t="s">
        <v>273</v>
      </c>
      <c r="P60" s="85">
        <v>59.79</v>
      </c>
    </row>
    <row r="61" spans="1:16" x14ac:dyDescent="0.3">
      <c r="A61" s="122">
        <v>45732</v>
      </c>
      <c r="B61" s="90" t="s">
        <v>159</v>
      </c>
      <c r="C61" s="90" t="s">
        <v>177</v>
      </c>
      <c r="D61" s="90" t="s">
        <v>169</v>
      </c>
      <c r="E61" s="91">
        <v>264.52</v>
      </c>
      <c r="O61" s="9" t="s">
        <v>274</v>
      </c>
      <c r="P61" s="85">
        <v>94</v>
      </c>
    </row>
    <row r="62" spans="1:16" x14ac:dyDescent="0.3">
      <c r="A62" s="122">
        <v>45734</v>
      </c>
      <c r="B62" s="90" t="s">
        <v>158</v>
      </c>
      <c r="C62" s="90" t="s">
        <v>177</v>
      </c>
      <c r="D62" s="90" t="s">
        <v>158</v>
      </c>
      <c r="E62" s="91">
        <v>0.18</v>
      </c>
      <c r="O62" s="9" t="s">
        <v>275</v>
      </c>
      <c r="P62" s="85">
        <v>36.94</v>
      </c>
    </row>
    <row r="63" spans="1:16" x14ac:dyDescent="0.3">
      <c r="A63" s="122">
        <v>45734</v>
      </c>
      <c r="B63" s="90" t="s">
        <v>230</v>
      </c>
      <c r="C63" s="90" t="s">
        <v>177</v>
      </c>
      <c r="D63" s="90" t="s">
        <v>168</v>
      </c>
      <c r="E63" s="91">
        <v>20</v>
      </c>
      <c r="O63" s="9" t="s">
        <v>278</v>
      </c>
      <c r="P63" s="85">
        <v>651.72</v>
      </c>
    </row>
    <row r="64" spans="1:16" x14ac:dyDescent="0.3">
      <c r="A64" s="122">
        <v>45734</v>
      </c>
      <c r="B64" s="90" t="s">
        <v>158</v>
      </c>
      <c r="C64" s="90" t="s">
        <v>177</v>
      </c>
      <c r="D64" s="90" t="s">
        <v>158</v>
      </c>
      <c r="E64" s="91">
        <v>0.14000000000000001</v>
      </c>
      <c r="O64" s="9" t="s">
        <v>279</v>
      </c>
      <c r="P64" s="85">
        <v>62.5</v>
      </c>
    </row>
    <row r="65" spans="1:16" x14ac:dyDescent="0.3">
      <c r="A65" s="122">
        <v>45734</v>
      </c>
      <c r="B65" s="90" t="s">
        <v>231</v>
      </c>
      <c r="C65" s="90" t="s">
        <v>177</v>
      </c>
      <c r="D65" s="90" t="s">
        <v>169</v>
      </c>
      <c r="E65" s="91">
        <v>154.97999999999999</v>
      </c>
      <c r="O65" s="9" t="s">
        <v>282</v>
      </c>
      <c r="P65" s="85">
        <v>210</v>
      </c>
    </row>
    <row r="66" spans="1:16" x14ac:dyDescent="0.3">
      <c r="A66" s="122">
        <v>45734</v>
      </c>
      <c r="B66" s="90" t="s">
        <v>232</v>
      </c>
      <c r="C66" s="90" t="s">
        <v>177</v>
      </c>
      <c r="D66" s="90" t="s">
        <v>169</v>
      </c>
      <c r="E66" s="91">
        <v>60.97</v>
      </c>
      <c r="O66" s="9" t="s">
        <v>283</v>
      </c>
      <c r="P66" s="85">
        <v>5</v>
      </c>
    </row>
    <row r="67" spans="1:16" x14ac:dyDescent="0.3">
      <c r="A67" s="122">
        <v>45734</v>
      </c>
      <c r="B67" s="90" t="s">
        <v>232</v>
      </c>
      <c r="C67" s="90" t="s">
        <v>177</v>
      </c>
      <c r="D67" s="90" t="s">
        <v>169</v>
      </c>
      <c r="E67" s="91">
        <v>18</v>
      </c>
      <c r="O67" s="9" t="s">
        <v>284</v>
      </c>
      <c r="P67" s="85">
        <v>261</v>
      </c>
    </row>
    <row r="68" spans="1:16" x14ac:dyDescent="0.3">
      <c r="A68" s="122">
        <v>45734</v>
      </c>
      <c r="B68" s="90" t="s">
        <v>233</v>
      </c>
      <c r="C68" s="90" t="s">
        <v>177</v>
      </c>
      <c r="D68" s="90" t="s">
        <v>173</v>
      </c>
      <c r="E68" s="91">
        <v>120.43</v>
      </c>
      <c r="O68" s="9" t="s">
        <v>285</v>
      </c>
      <c r="P68" s="85">
        <v>40</v>
      </c>
    </row>
    <row r="69" spans="1:16" x14ac:dyDescent="0.3">
      <c r="A69" s="122">
        <v>45734</v>
      </c>
      <c r="B69" s="90" t="s">
        <v>232</v>
      </c>
      <c r="C69" s="90" t="s">
        <v>177</v>
      </c>
      <c r="D69" s="90" t="s">
        <v>173</v>
      </c>
      <c r="E69" s="91">
        <v>236.9</v>
      </c>
      <c r="O69" s="9" t="s">
        <v>287</v>
      </c>
      <c r="P69" s="85">
        <v>110</v>
      </c>
    </row>
    <row r="70" spans="1:16" x14ac:dyDescent="0.3">
      <c r="A70" s="122">
        <v>45734</v>
      </c>
      <c r="B70" s="90" t="s">
        <v>234</v>
      </c>
      <c r="C70" s="90" t="s">
        <v>178</v>
      </c>
      <c r="D70" s="90" t="s">
        <v>235</v>
      </c>
      <c r="E70" s="91">
        <v>150</v>
      </c>
      <c r="O70" s="9" t="s">
        <v>288</v>
      </c>
      <c r="P70" s="85">
        <v>104.93</v>
      </c>
    </row>
    <row r="71" spans="1:16" x14ac:dyDescent="0.3">
      <c r="A71" s="122">
        <v>45734</v>
      </c>
      <c r="B71" s="90" t="s">
        <v>234</v>
      </c>
      <c r="C71" s="90" t="s">
        <v>178</v>
      </c>
      <c r="D71" s="90" t="s">
        <v>235</v>
      </c>
      <c r="E71" s="91">
        <v>100</v>
      </c>
      <c r="O71" s="9" t="s">
        <v>289</v>
      </c>
      <c r="P71" s="85">
        <v>74</v>
      </c>
    </row>
    <row r="72" spans="1:16" x14ac:dyDescent="0.3">
      <c r="A72" s="122">
        <v>45735</v>
      </c>
      <c r="B72" s="90" t="s">
        <v>158</v>
      </c>
      <c r="C72" s="90" t="s">
        <v>177</v>
      </c>
      <c r="D72" s="90" t="s">
        <v>158</v>
      </c>
      <c r="E72" s="91">
        <v>0.04</v>
      </c>
      <c r="O72" s="9" t="s">
        <v>290</v>
      </c>
      <c r="P72" s="85">
        <v>86</v>
      </c>
    </row>
    <row r="73" spans="1:16" x14ac:dyDescent="0.3">
      <c r="A73" s="122">
        <v>45735</v>
      </c>
      <c r="B73" s="123" t="s">
        <v>228</v>
      </c>
      <c r="C73" s="90" t="s">
        <v>177</v>
      </c>
      <c r="D73" s="90" t="s">
        <v>168</v>
      </c>
      <c r="E73" s="91">
        <v>20</v>
      </c>
      <c r="O73" s="9" t="s">
        <v>291</v>
      </c>
      <c r="P73" s="85">
        <v>86</v>
      </c>
    </row>
    <row r="74" spans="1:16" x14ac:dyDescent="0.3">
      <c r="A74" s="122">
        <v>45735</v>
      </c>
      <c r="B74" s="123" t="s">
        <v>239</v>
      </c>
      <c r="C74" s="90" t="s">
        <v>177</v>
      </c>
      <c r="D74" s="90" t="s">
        <v>169</v>
      </c>
      <c r="E74" s="91">
        <v>95</v>
      </c>
      <c r="O74" s="9" t="s">
        <v>292</v>
      </c>
      <c r="P74" s="85">
        <v>86</v>
      </c>
    </row>
    <row r="75" spans="1:16" x14ac:dyDescent="0.3">
      <c r="A75" s="122">
        <v>45735</v>
      </c>
      <c r="B75" t="s">
        <v>240</v>
      </c>
      <c r="C75" s="90" t="s">
        <v>177</v>
      </c>
      <c r="D75" s="90" t="s">
        <v>169</v>
      </c>
      <c r="E75" s="91">
        <v>14</v>
      </c>
    </row>
    <row r="76" spans="1:16" x14ac:dyDescent="0.3">
      <c r="A76" s="122">
        <v>45737</v>
      </c>
      <c r="B76" s="90" t="s">
        <v>237</v>
      </c>
      <c r="C76" s="90" t="s">
        <v>177</v>
      </c>
      <c r="D76" s="90" t="s">
        <v>173</v>
      </c>
      <c r="E76" s="91">
        <v>100</v>
      </c>
    </row>
    <row r="77" spans="1:16" x14ac:dyDescent="0.3">
      <c r="A77" s="124">
        <v>45737</v>
      </c>
      <c r="B77" s="90" t="s">
        <v>158</v>
      </c>
      <c r="C77" s="90" t="s">
        <v>177</v>
      </c>
      <c r="D77" s="90" t="s">
        <v>158</v>
      </c>
      <c r="E77" s="91">
        <v>0.01</v>
      </c>
    </row>
    <row r="78" spans="1:16" x14ac:dyDescent="0.3">
      <c r="A78" s="122">
        <v>45737</v>
      </c>
      <c r="B78" s="90" t="s">
        <v>237</v>
      </c>
      <c r="C78" s="90" t="s">
        <v>177</v>
      </c>
      <c r="D78" s="90" t="s">
        <v>173</v>
      </c>
      <c r="E78" s="91">
        <v>0</v>
      </c>
    </row>
    <row r="79" spans="1:16" x14ac:dyDescent="0.3">
      <c r="A79" s="122">
        <v>45738</v>
      </c>
      <c r="B79" s="90" t="s">
        <v>234</v>
      </c>
      <c r="C79" s="90" t="s">
        <v>178</v>
      </c>
      <c r="D79" s="90" t="s">
        <v>235</v>
      </c>
      <c r="E79" s="91">
        <v>20</v>
      </c>
    </row>
    <row r="80" spans="1:16" x14ac:dyDescent="0.3">
      <c r="A80" s="124">
        <v>45738</v>
      </c>
      <c r="B80" s="90" t="s">
        <v>238</v>
      </c>
      <c r="C80" s="90" t="s">
        <v>177</v>
      </c>
      <c r="D80" s="90" t="s">
        <v>173</v>
      </c>
      <c r="E80" s="91">
        <v>466.7</v>
      </c>
    </row>
    <row r="81" spans="1:5" x14ac:dyDescent="0.3">
      <c r="A81" s="122">
        <v>45738</v>
      </c>
      <c r="B81" s="90" t="s">
        <v>174</v>
      </c>
      <c r="C81" s="90" t="s">
        <v>178</v>
      </c>
      <c r="D81" s="90" t="s">
        <v>175</v>
      </c>
      <c r="E81" s="91">
        <v>40</v>
      </c>
    </row>
    <row r="82" spans="1:5" x14ac:dyDescent="0.3">
      <c r="A82" s="122">
        <v>45738</v>
      </c>
      <c r="B82" s="90" t="s">
        <v>269</v>
      </c>
      <c r="C82" s="90" t="s">
        <v>177</v>
      </c>
      <c r="D82" s="90" t="s">
        <v>173</v>
      </c>
      <c r="E82" s="91">
        <v>0</v>
      </c>
    </row>
    <row r="83" spans="1:5" x14ac:dyDescent="0.3">
      <c r="A83" s="122">
        <v>45739</v>
      </c>
      <c r="B83" s="123" t="s">
        <v>241</v>
      </c>
      <c r="C83" s="90" t="s">
        <v>177</v>
      </c>
      <c r="D83" s="90" t="s">
        <v>168</v>
      </c>
      <c r="E83" s="91">
        <v>20</v>
      </c>
    </row>
    <row r="84" spans="1:5" x14ac:dyDescent="0.3">
      <c r="A84" s="122">
        <v>45739</v>
      </c>
      <c r="B84" s="90" t="s">
        <v>158</v>
      </c>
      <c r="C84" s="90" t="s">
        <v>177</v>
      </c>
      <c r="D84" s="90" t="s">
        <v>158</v>
      </c>
      <c r="E84" s="91">
        <v>0.01</v>
      </c>
    </row>
    <row r="85" spans="1:5" x14ac:dyDescent="0.3">
      <c r="A85" s="122">
        <v>45740</v>
      </c>
      <c r="B85" s="90" t="s">
        <v>158</v>
      </c>
      <c r="C85" s="90" t="s">
        <v>177</v>
      </c>
      <c r="D85" s="90" t="s">
        <v>158</v>
      </c>
      <c r="E85" s="91">
        <v>0.01</v>
      </c>
    </row>
    <row r="86" spans="1:5" x14ac:dyDescent="0.3">
      <c r="A86" s="122">
        <v>45740</v>
      </c>
      <c r="B86" s="90" t="s">
        <v>238</v>
      </c>
      <c r="C86" s="90" t="s">
        <v>177</v>
      </c>
      <c r="D86" s="90" t="s">
        <v>173</v>
      </c>
      <c r="E86" s="91">
        <v>147.47</v>
      </c>
    </row>
    <row r="87" spans="1:5" x14ac:dyDescent="0.3">
      <c r="A87" s="122">
        <v>45741</v>
      </c>
      <c r="B87" s="90" t="s">
        <v>158</v>
      </c>
      <c r="C87" s="90" t="s">
        <v>177</v>
      </c>
      <c r="D87" s="90" t="s">
        <v>158</v>
      </c>
      <c r="E87" s="91">
        <v>0.02</v>
      </c>
    </row>
    <row r="88" spans="1:5" x14ac:dyDescent="0.3">
      <c r="A88" s="122">
        <v>45742</v>
      </c>
      <c r="B88" s="90" t="s">
        <v>158</v>
      </c>
      <c r="C88" s="90" t="s">
        <v>177</v>
      </c>
      <c r="D88" s="90" t="s">
        <v>158</v>
      </c>
      <c r="E88" s="91">
        <v>0.02</v>
      </c>
    </row>
    <row r="89" spans="1:5" x14ac:dyDescent="0.3">
      <c r="A89" s="122">
        <v>45743</v>
      </c>
      <c r="B89" s="90" t="s">
        <v>197</v>
      </c>
      <c r="C89" s="90" t="s">
        <v>177</v>
      </c>
      <c r="D89" s="90" t="s">
        <v>168</v>
      </c>
      <c r="E89" s="91">
        <v>80</v>
      </c>
    </row>
    <row r="90" spans="1:5" x14ac:dyDescent="0.3">
      <c r="A90" s="122">
        <v>45744</v>
      </c>
      <c r="B90" s="90" t="s">
        <v>158</v>
      </c>
      <c r="C90" s="90" t="s">
        <v>177</v>
      </c>
      <c r="D90" s="90" t="s">
        <v>158</v>
      </c>
      <c r="E90" s="91">
        <v>0.01</v>
      </c>
    </row>
    <row r="91" spans="1:5" x14ac:dyDescent="0.3">
      <c r="A91" s="122">
        <v>45745</v>
      </c>
      <c r="B91" s="90" t="s">
        <v>198</v>
      </c>
      <c r="C91" s="90" t="s">
        <v>177</v>
      </c>
      <c r="D91" s="90" t="s">
        <v>168</v>
      </c>
      <c r="E91" s="91">
        <v>20</v>
      </c>
    </row>
    <row r="92" spans="1:5" x14ac:dyDescent="0.3">
      <c r="A92" s="122">
        <v>45745</v>
      </c>
      <c r="B92" s="90" t="s">
        <v>246</v>
      </c>
      <c r="C92" s="90" t="s">
        <v>177</v>
      </c>
      <c r="D92" s="90" t="s">
        <v>168</v>
      </c>
      <c r="E92" s="91">
        <v>50</v>
      </c>
    </row>
    <row r="93" spans="1:5" x14ac:dyDescent="0.3">
      <c r="A93" s="122">
        <v>45745</v>
      </c>
      <c r="B93" s="90" t="s">
        <v>233</v>
      </c>
      <c r="C93" s="90" t="s">
        <v>177</v>
      </c>
      <c r="D93" s="90" t="s">
        <v>173</v>
      </c>
      <c r="E93" s="91">
        <v>68.98</v>
      </c>
    </row>
    <row r="94" spans="1:5" x14ac:dyDescent="0.3">
      <c r="A94" s="122">
        <v>45746</v>
      </c>
      <c r="B94" s="90" t="s">
        <v>230</v>
      </c>
      <c r="C94" s="90" t="s">
        <v>177</v>
      </c>
      <c r="D94" s="90" t="s">
        <v>168</v>
      </c>
      <c r="E94" s="91">
        <v>20</v>
      </c>
    </row>
    <row r="95" spans="1:5" x14ac:dyDescent="0.3">
      <c r="A95" s="122">
        <v>45746</v>
      </c>
      <c r="B95" s="90" t="s">
        <v>247</v>
      </c>
      <c r="C95" s="90" t="s">
        <v>177</v>
      </c>
      <c r="D95" s="90" t="s">
        <v>173</v>
      </c>
      <c r="E95" s="91">
        <v>141.69999999999999</v>
      </c>
    </row>
    <row r="96" spans="1:5" x14ac:dyDescent="0.3">
      <c r="A96" s="122">
        <v>45746</v>
      </c>
      <c r="B96" s="90" t="s">
        <v>174</v>
      </c>
      <c r="C96" s="90" t="s">
        <v>178</v>
      </c>
      <c r="D96" s="90" t="s">
        <v>175</v>
      </c>
      <c r="E96" s="91">
        <v>70</v>
      </c>
    </row>
    <row r="97" spans="1:5" x14ac:dyDescent="0.3">
      <c r="A97" s="122">
        <v>45747</v>
      </c>
      <c r="B97" s="90" t="s">
        <v>158</v>
      </c>
      <c r="C97" s="90" t="s">
        <v>177</v>
      </c>
      <c r="D97" s="90" t="s">
        <v>158</v>
      </c>
      <c r="E97" s="91">
        <v>0.05</v>
      </c>
    </row>
    <row r="98" spans="1:5" x14ac:dyDescent="0.3">
      <c r="A98" s="122">
        <v>45748</v>
      </c>
      <c r="B98" s="90" t="s">
        <v>158</v>
      </c>
      <c r="C98" s="90" t="s">
        <v>177</v>
      </c>
      <c r="D98" s="90" t="s">
        <v>158</v>
      </c>
      <c r="E98" s="91">
        <v>0.08</v>
      </c>
    </row>
    <row r="99" spans="1:5" x14ac:dyDescent="0.3">
      <c r="A99" s="122">
        <v>45748</v>
      </c>
      <c r="B99" s="90" t="s">
        <v>249</v>
      </c>
      <c r="C99" s="90" t="s">
        <v>177</v>
      </c>
      <c r="D99" s="90" t="s">
        <v>168</v>
      </c>
      <c r="E99" s="91">
        <v>40</v>
      </c>
    </row>
    <row r="100" spans="1:5" x14ac:dyDescent="0.3">
      <c r="A100" s="122">
        <v>45749</v>
      </c>
      <c r="B100" s="90" t="s">
        <v>158</v>
      </c>
      <c r="C100" s="90" t="s">
        <v>177</v>
      </c>
      <c r="D100" s="90" t="s">
        <v>158</v>
      </c>
      <c r="E100" s="91">
        <v>0.09</v>
      </c>
    </row>
    <row r="101" spans="1:5" x14ac:dyDescent="0.3">
      <c r="A101" s="122">
        <v>45750</v>
      </c>
      <c r="B101" s="90" t="s">
        <v>158</v>
      </c>
      <c r="C101" s="90" t="s">
        <v>177</v>
      </c>
      <c r="D101" s="90" t="s">
        <v>158</v>
      </c>
      <c r="E101" s="91">
        <v>0.11</v>
      </c>
    </row>
    <row r="102" spans="1:5" x14ac:dyDescent="0.3">
      <c r="A102" s="122">
        <v>45750</v>
      </c>
      <c r="B102" s="90" t="s">
        <v>289</v>
      </c>
      <c r="C102" s="90" t="s">
        <v>177</v>
      </c>
      <c r="D102" s="90" t="s">
        <v>173</v>
      </c>
      <c r="E102" s="91">
        <v>74</v>
      </c>
    </row>
    <row r="103" spans="1:5" x14ac:dyDescent="0.3">
      <c r="A103" s="122">
        <v>45751</v>
      </c>
      <c r="B103" s="90" t="s">
        <v>158</v>
      </c>
      <c r="C103" s="90" t="s">
        <v>177</v>
      </c>
      <c r="D103" s="90" t="s">
        <v>158</v>
      </c>
      <c r="E103" s="91">
        <v>0.1</v>
      </c>
    </row>
    <row r="104" spans="1:5" x14ac:dyDescent="0.3">
      <c r="A104" s="122">
        <v>45753</v>
      </c>
      <c r="B104" s="90" t="s">
        <v>252</v>
      </c>
      <c r="C104" s="90" t="s">
        <v>177</v>
      </c>
      <c r="D104" s="90" t="s">
        <v>168</v>
      </c>
      <c r="E104" s="91">
        <v>20</v>
      </c>
    </row>
    <row r="105" spans="1:5" x14ac:dyDescent="0.3">
      <c r="A105" s="122">
        <v>45753</v>
      </c>
      <c r="B105" s="90" t="s">
        <v>253</v>
      </c>
      <c r="C105" s="90" t="s">
        <v>177</v>
      </c>
      <c r="D105" s="90" t="s">
        <v>168</v>
      </c>
      <c r="E105" s="91">
        <v>20</v>
      </c>
    </row>
    <row r="106" spans="1:5" x14ac:dyDescent="0.3">
      <c r="A106" s="122">
        <v>45753</v>
      </c>
      <c r="B106" s="90" t="s">
        <v>254</v>
      </c>
      <c r="C106" s="90" t="s">
        <v>177</v>
      </c>
      <c r="D106" s="90" t="s">
        <v>168</v>
      </c>
      <c r="E106" s="91">
        <v>20</v>
      </c>
    </row>
    <row r="107" spans="1:5" x14ac:dyDescent="0.3">
      <c r="A107" s="122">
        <v>45753</v>
      </c>
      <c r="B107" s="90" t="s">
        <v>249</v>
      </c>
      <c r="C107" s="90" t="s">
        <v>177</v>
      </c>
      <c r="D107" s="90" t="s">
        <v>168</v>
      </c>
      <c r="E107" s="91">
        <v>20</v>
      </c>
    </row>
    <row r="108" spans="1:5" x14ac:dyDescent="0.3">
      <c r="A108" s="122">
        <v>45753</v>
      </c>
      <c r="B108" s="90" t="s">
        <v>174</v>
      </c>
      <c r="C108" s="90" t="s">
        <v>178</v>
      </c>
      <c r="D108" s="90" t="s">
        <v>175</v>
      </c>
      <c r="E108" s="91">
        <v>90</v>
      </c>
    </row>
    <row r="109" spans="1:5" x14ac:dyDescent="0.3">
      <c r="A109" s="124">
        <v>45754</v>
      </c>
      <c r="B109" s="90" t="s">
        <v>158</v>
      </c>
      <c r="C109" s="90" t="s">
        <v>177</v>
      </c>
      <c r="D109" s="90" t="s">
        <v>158</v>
      </c>
      <c r="E109" s="164">
        <v>0.1</v>
      </c>
    </row>
    <row r="110" spans="1:5" x14ac:dyDescent="0.3">
      <c r="A110" s="124">
        <v>45754</v>
      </c>
      <c r="B110" t="s">
        <v>255</v>
      </c>
      <c r="C110" s="90" t="s">
        <v>177</v>
      </c>
      <c r="D110" s="90" t="s">
        <v>168</v>
      </c>
      <c r="E110" s="164">
        <v>20</v>
      </c>
    </row>
    <row r="111" spans="1:5" x14ac:dyDescent="0.3">
      <c r="A111" s="124">
        <v>45754</v>
      </c>
      <c r="B111" s="90" t="s">
        <v>234</v>
      </c>
      <c r="C111" s="90" t="s">
        <v>178</v>
      </c>
      <c r="D111" s="90" t="s">
        <v>235</v>
      </c>
      <c r="E111" s="164">
        <v>7.8</v>
      </c>
    </row>
    <row r="112" spans="1:5" x14ac:dyDescent="0.3">
      <c r="A112" s="124">
        <v>45754</v>
      </c>
      <c r="B112" s="90" t="s">
        <v>233</v>
      </c>
      <c r="C112" s="90" t="s">
        <v>177</v>
      </c>
      <c r="D112" s="90" t="s">
        <v>173</v>
      </c>
      <c r="E112" s="125">
        <v>12.2</v>
      </c>
    </row>
    <row r="113" spans="1:5" x14ac:dyDescent="0.3">
      <c r="A113" s="124">
        <v>45755</v>
      </c>
      <c r="B113" t="s">
        <v>158</v>
      </c>
      <c r="C113" s="90" t="s">
        <v>177</v>
      </c>
      <c r="D113" s="90" t="s">
        <v>158</v>
      </c>
      <c r="E113" s="125">
        <v>0.14000000000000001</v>
      </c>
    </row>
    <row r="114" spans="1:5" x14ac:dyDescent="0.3">
      <c r="A114" s="124">
        <v>45755</v>
      </c>
      <c r="B114" s="90" t="s">
        <v>241</v>
      </c>
      <c r="C114" s="90" t="s">
        <v>177</v>
      </c>
      <c r="D114" s="90" t="s">
        <v>168</v>
      </c>
      <c r="E114" s="125">
        <v>100</v>
      </c>
    </row>
    <row r="115" spans="1:5" x14ac:dyDescent="0.3">
      <c r="A115" s="124">
        <v>45756</v>
      </c>
      <c r="B115" s="90" t="s">
        <v>255</v>
      </c>
      <c r="C115" s="90" t="s">
        <v>177</v>
      </c>
      <c r="D115" s="90" t="s">
        <v>168</v>
      </c>
      <c r="E115" s="125">
        <v>40</v>
      </c>
    </row>
    <row r="116" spans="1:5" x14ac:dyDescent="0.3">
      <c r="A116" s="124">
        <v>45756</v>
      </c>
      <c r="B116" s="90" t="s">
        <v>158</v>
      </c>
      <c r="C116" s="90" t="s">
        <v>177</v>
      </c>
      <c r="D116" s="90" t="s">
        <v>158</v>
      </c>
      <c r="E116" s="125">
        <v>0.14000000000000001</v>
      </c>
    </row>
    <row r="117" spans="1:5" x14ac:dyDescent="0.3">
      <c r="A117" s="124">
        <v>45756</v>
      </c>
      <c r="B117" t="s">
        <v>268</v>
      </c>
      <c r="C117" s="90" t="s">
        <v>177</v>
      </c>
      <c r="D117" s="90" t="s">
        <v>173</v>
      </c>
      <c r="E117" s="125">
        <v>90.49</v>
      </c>
    </row>
    <row r="118" spans="1:5" x14ac:dyDescent="0.3">
      <c r="A118" s="124">
        <v>45757</v>
      </c>
      <c r="B118" t="s">
        <v>158</v>
      </c>
      <c r="C118" s="90" t="s">
        <v>177</v>
      </c>
      <c r="D118" s="90" t="s">
        <v>158</v>
      </c>
      <c r="E118" s="125">
        <v>0.2</v>
      </c>
    </row>
    <row r="119" spans="1:5" x14ac:dyDescent="0.3">
      <c r="A119" s="124">
        <v>45757</v>
      </c>
      <c r="B119" s="90" t="s">
        <v>267</v>
      </c>
      <c r="C119" s="90" t="s">
        <v>177</v>
      </c>
      <c r="D119" s="90" t="s">
        <v>173</v>
      </c>
      <c r="E119" s="125">
        <v>4.12</v>
      </c>
    </row>
    <row r="120" spans="1:5" x14ac:dyDescent="0.3">
      <c r="A120" s="124">
        <v>45758</v>
      </c>
      <c r="B120" s="90" t="s">
        <v>158</v>
      </c>
      <c r="C120" s="90" t="s">
        <v>177</v>
      </c>
      <c r="D120" s="90" t="s">
        <v>158</v>
      </c>
      <c r="E120" s="125">
        <v>0.19</v>
      </c>
    </row>
    <row r="121" spans="1:5" x14ac:dyDescent="0.3">
      <c r="A121" s="124">
        <v>45759</v>
      </c>
      <c r="B121" s="90" t="s">
        <v>241</v>
      </c>
      <c r="C121" s="90" t="s">
        <v>177</v>
      </c>
      <c r="D121" s="90" t="s">
        <v>168</v>
      </c>
      <c r="E121" s="125">
        <v>56.8</v>
      </c>
    </row>
    <row r="122" spans="1:5" x14ac:dyDescent="0.3">
      <c r="A122" s="124">
        <v>45759</v>
      </c>
      <c r="B122" s="163" t="s">
        <v>265</v>
      </c>
      <c r="C122" s="90" t="s">
        <v>177</v>
      </c>
      <c r="D122" s="90" t="s">
        <v>168</v>
      </c>
      <c r="E122" s="125">
        <v>524</v>
      </c>
    </row>
    <row r="123" spans="1:5" x14ac:dyDescent="0.3">
      <c r="A123" s="124">
        <v>45759</v>
      </c>
      <c r="B123" t="s">
        <v>159</v>
      </c>
      <c r="C123" s="90" t="s">
        <v>177</v>
      </c>
      <c r="D123" s="90" t="s">
        <v>169</v>
      </c>
      <c r="E123" s="125">
        <v>1010.37</v>
      </c>
    </row>
    <row r="124" spans="1:5" x14ac:dyDescent="0.3">
      <c r="A124" s="124">
        <v>45759</v>
      </c>
      <c r="B124" t="s">
        <v>270</v>
      </c>
      <c r="C124" s="90" t="s">
        <v>177</v>
      </c>
      <c r="D124" s="90" t="s">
        <v>173</v>
      </c>
      <c r="E124" s="125">
        <v>53.26</v>
      </c>
    </row>
    <row r="125" spans="1:5" x14ac:dyDescent="0.3">
      <c r="A125" s="124">
        <v>45759</v>
      </c>
      <c r="B125" t="s">
        <v>231</v>
      </c>
      <c r="C125" s="90" t="s">
        <v>177</v>
      </c>
      <c r="D125" s="90" t="s">
        <v>173</v>
      </c>
      <c r="E125" s="125">
        <v>532.65</v>
      </c>
    </row>
    <row r="126" spans="1:5" x14ac:dyDescent="0.3">
      <c r="A126" s="124">
        <v>45759</v>
      </c>
      <c r="B126" s="90" t="s">
        <v>233</v>
      </c>
      <c r="C126" s="90" t="s">
        <v>177</v>
      </c>
      <c r="D126" s="90" t="s">
        <v>173</v>
      </c>
      <c r="E126" s="125">
        <v>124.72</v>
      </c>
    </row>
    <row r="127" spans="1:5" x14ac:dyDescent="0.3">
      <c r="A127" s="124">
        <v>45759</v>
      </c>
      <c r="B127" s="90" t="s">
        <v>271</v>
      </c>
      <c r="C127" s="90" t="s">
        <v>177</v>
      </c>
      <c r="D127" s="90" t="s">
        <v>173</v>
      </c>
      <c r="E127" s="125">
        <v>88.8</v>
      </c>
    </row>
    <row r="128" spans="1:5" x14ac:dyDescent="0.3">
      <c r="A128" s="124">
        <v>45759</v>
      </c>
      <c r="B128" s="90" t="s">
        <v>234</v>
      </c>
      <c r="C128" s="90" t="s">
        <v>178</v>
      </c>
      <c r="D128" s="90" t="s">
        <v>235</v>
      </c>
      <c r="E128" s="125">
        <v>305.35000000000002</v>
      </c>
    </row>
    <row r="129" spans="1:6" x14ac:dyDescent="0.3">
      <c r="A129" s="124">
        <v>45761</v>
      </c>
      <c r="B129" s="90" t="s">
        <v>158</v>
      </c>
      <c r="C129" s="90" t="s">
        <v>177</v>
      </c>
      <c r="D129" s="90" t="s">
        <v>158</v>
      </c>
      <c r="E129" s="125">
        <v>0.2</v>
      </c>
    </row>
    <row r="130" spans="1:6" x14ac:dyDescent="0.3">
      <c r="A130" s="124">
        <v>45762</v>
      </c>
      <c r="B130" t="s">
        <v>158</v>
      </c>
      <c r="C130" s="90" t="s">
        <v>177</v>
      </c>
      <c r="D130" s="90" t="s">
        <v>158</v>
      </c>
      <c r="E130" s="125">
        <v>0.02</v>
      </c>
    </row>
    <row r="131" spans="1:6" x14ac:dyDescent="0.3">
      <c r="A131" s="124">
        <v>45762</v>
      </c>
      <c r="B131" s="90" t="s">
        <v>276</v>
      </c>
      <c r="C131" s="90" t="s">
        <v>177</v>
      </c>
      <c r="D131" s="90" t="s">
        <v>173</v>
      </c>
      <c r="E131" s="125">
        <v>651.72</v>
      </c>
    </row>
    <row r="132" spans="1:6" x14ac:dyDescent="0.3">
      <c r="A132" s="124">
        <v>45762</v>
      </c>
      <c r="B132" s="90" t="s">
        <v>278</v>
      </c>
      <c r="C132" s="90" t="s">
        <v>177</v>
      </c>
      <c r="D132" s="90" t="s">
        <v>173</v>
      </c>
      <c r="E132" s="125">
        <v>651.72</v>
      </c>
    </row>
    <row r="133" spans="1:6" x14ac:dyDescent="0.3">
      <c r="A133" s="124">
        <v>45763</v>
      </c>
      <c r="B133" s="90" t="s">
        <v>158</v>
      </c>
      <c r="C133" s="90" t="s">
        <v>177</v>
      </c>
      <c r="D133" s="90" t="s">
        <v>158</v>
      </c>
      <c r="E133" s="125">
        <v>0.02</v>
      </c>
    </row>
    <row r="134" spans="1:6" x14ac:dyDescent="0.3">
      <c r="A134" s="124">
        <v>45764</v>
      </c>
      <c r="B134" s="90" t="s">
        <v>158</v>
      </c>
      <c r="C134" s="90" t="s">
        <v>177</v>
      </c>
      <c r="D134" s="90" t="s">
        <v>158</v>
      </c>
      <c r="E134" s="125">
        <v>0.03</v>
      </c>
    </row>
    <row r="135" spans="1:6" x14ac:dyDescent="0.3">
      <c r="A135" s="124">
        <v>45764</v>
      </c>
      <c r="B135" s="123" t="s">
        <v>265</v>
      </c>
      <c r="C135" s="90" t="s">
        <v>177</v>
      </c>
      <c r="D135" s="90" t="s">
        <v>169</v>
      </c>
      <c r="E135" s="125">
        <v>5</v>
      </c>
    </row>
    <row r="136" spans="1:6" x14ac:dyDescent="0.3">
      <c r="A136" s="124">
        <v>45764</v>
      </c>
      <c r="B136" t="s">
        <v>277</v>
      </c>
      <c r="C136" s="90" t="s">
        <v>177</v>
      </c>
      <c r="D136" s="90" t="s">
        <v>173</v>
      </c>
      <c r="E136" s="125">
        <v>62.5</v>
      </c>
    </row>
    <row r="137" spans="1:6" x14ac:dyDescent="0.3">
      <c r="A137" s="124">
        <v>45764</v>
      </c>
      <c r="B137" t="s">
        <v>272</v>
      </c>
      <c r="C137" s="90" t="s">
        <v>177</v>
      </c>
      <c r="D137" s="90" t="s">
        <v>173</v>
      </c>
      <c r="E137" s="125">
        <v>70.260000000000005</v>
      </c>
    </row>
    <row r="138" spans="1:6" x14ac:dyDescent="0.3">
      <c r="A138" s="124">
        <v>45764</v>
      </c>
      <c r="B138" t="s">
        <v>279</v>
      </c>
      <c r="C138" s="90" t="s">
        <v>177</v>
      </c>
      <c r="D138" s="90" t="s">
        <v>173</v>
      </c>
      <c r="E138" s="125">
        <v>62.5</v>
      </c>
    </row>
    <row r="139" spans="1:6" x14ac:dyDescent="0.3">
      <c r="A139" s="124">
        <v>45765</v>
      </c>
      <c r="B139" t="s">
        <v>273</v>
      </c>
      <c r="C139" s="90" t="s">
        <v>177</v>
      </c>
      <c r="D139" s="90" t="s">
        <v>173</v>
      </c>
      <c r="E139" s="125">
        <v>59.79</v>
      </c>
    </row>
    <row r="140" spans="1:6" x14ac:dyDescent="0.3">
      <c r="A140" s="124">
        <v>45766</v>
      </c>
      <c r="B140" s="163" t="s">
        <v>253</v>
      </c>
      <c r="C140" s="90" t="s">
        <v>177</v>
      </c>
      <c r="D140" s="90" t="s">
        <v>168</v>
      </c>
      <c r="E140" s="125">
        <v>351</v>
      </c>
    </row>
    <row r="141" spans="1:6" x14ac:dyDescent="0.3">
      <c r="A141" s="124">
        <v>45766</v>
      </c>
      <c r="B141" s="123" t="s">
        <v>266</v>
      </c>
      <c r="C141" s="90" t="s">
        <v>177</v>
      </c>
      <c r="D141" s="90" t="s">
        <v>168</v>
      </c>
      <c r="E141" s="125">
        <v>20</v>
      </c>
    </row>
    <row r="142" spans="1:6" x14ac:dyDescent="0.3">
      <c r="A142" s="124">
        <v>45767</v>
      </c>
      <c r="B142" s="163" t="s">
        <v>226</v>
      </c>
      <c r="C142" s="90" t="s">
        <v>177</v>
      </c>
      <c r="D142" s="90" t="s">
        <v>168</v>
      </c>
      <c r="E142" s="125">
        <v>40</v>
      </c>
    </row>
    <row r="143" spans="1:6" x14ac:dyDescent="0.3">
      <c r="A143" s="124">
        <v>45767</v>
      </c>
      <c r="B143" s="90" t="s">
        <v>274</v>
      </c>
      <c r="C143" s="90" t="s">
        <v>177</v>
      </c>
      <c r="D143" s="90" t="s">
        <v>173</v>
      </c>
      <c r="E143" s="125">
        <v>94</v>
      </c>
      <c r="F143" s="89"/>
    </row>
    <row r="144" spans="1:6" x14ac:dyDescent="0.3">
      <c r="A144" s="124">
        <v>45767</v>
      </c>
      <c r="B144" s="90" t="s">
        <v>275</v>
      </c>
      <c r="C144" s="90" t="s">
        <v>177</v>
      </c>
      <c r="D144" s="90" t="s">
        <v>173</v>
      </c>
      <c r="E144" s="125">
        <v>36.94</v>
      </c>
    </row>
    <row r="145" spans="1:5" x14ac:dyDescent="0.3">
      <c r="A145" s="124">
        <v>45769</v>
      </c>
      <c r="B145" s="90" t="s">
        <v>158</v>
      </c>
      <c r="C145" s="90" t="s">
        <v>177</v>
      </c>
      <c r="D145" s="90" t="s">
        <v>158</v>
      </c>
      <c r="E145" s="125">
        <v>0.03</v>
      </c>
    </row>
    <row r="146" spans="1:5" x14ac:dyDescent="0.3">
      <c r="A146" s="124">
        <v>45769</v>
      </c>
      <c r="B146" s="90" t="s">
        <v>268</v>
      </c>
      <c r="C146" s="90" t="s">
        <v>177</v>
      </c>
      <c r="D146" s="90" t="s">
        <v>173</v>
      </c>
      <c r="E146" s="125">
        <v>90.07</v>
      </c>
    </row>
    <row r="147" spans="1:5" x14ac:dyDescent="0.3">
      <c r="A147" s="124">
        <v>45769</v>
      </c>
      <c r="B147" s="90" t="s">
        <v>290</v>
      </c>
      <c r="C147" s="90" t="s">
        <v>177</v>
      </c>
      <c r="D147" s="90" t="s">
        <v>173</v>
      </c>
      <c r="E147" s="125">
        <v>86</v>
      </c>
    </row>
    <row r="148" spans="1:5" x14ac:dyDescent="0.3">
      <c r="A148" s="124">
        <v>45769</v>
      </c>
      <c r="B148" s="90" t="s">
        <v>291</v>
      </c>
      <c r="C148" s="90" t="s">
        <v>177</v>
      </c>
      <c r="D148" s="90" t="s">
        <v>173</v>
      </c>
      <c r="E148" s="125">
        <v>86</v>
      </c>
    </row>
    <row r="149" spans="1:5" x14ac:dyDescent="0.3">
      <c r="A149" s="124">
        <v>45769</v>
      </c>
      <c r="B149" s="90" t="s">
        <v>292</v>
      </c>
      <c r="C149" s="90" t="s">
        <v>177</v>
      </c>
      <c r="D149" s="90" t="s">
        <v>173</v>
      </c>
      <c r="E149" s="125">
        <v>86</v>
      </c>
    </row>
    <row r="150" spans="1:5" x14ac:dyDescent="0.3">
      <c r="A150" s="124">
        <v>45769</v>
      </c>
      <c r="B150" s="90" t="s">
        <v>287</v>
      </c>
      <c r="C150" s="90" t="s">
        <v>177</v>
      </c>
      <c r="D150" s="90" t="s">
        <v>173</v>
      </c>
      <c r="E150" s="125">
        <v>110</v>
      </c>
    </row>
    <row r="151" spans="1:5" x14ac:dyDescent="0.3">
      <c r="A151" s="124">
        <v>45770</v>
      </c>
      <c r="B151" t="s">
        <v>158</v>
      </c>
      <c r="C151" s="90" t="s">
        <v>177</v>
      </c>
      <c r="D151" s="90" t="s">
        <v>158</v>
      </c>
      <c r="E151" s="125">
        <v>0.2</v>
      </c>
    </row>
    <row r="152" spans="1:5" x14ac:dyDescent="0.3">
      <c r="A152" s="124">
        <v>45770</v>
      </c>
      <c r="B152" s="90" t="s">
        <v>288</v>
      </c>
      <c r="C152" s="90" t="s">
        <v>177</v>
      </c>
      <c r="D152" s="90" t="s">
        <v>173</v>
      </c>
      <c r="E152" s="125">
        <v>104.93</v>
      </c>
    </row>
    <row r="153" spans="1:5" x14ac:dyDescent="0.3">
      <c r="A153" s="124">
        <v>45771</v>
      </c>
      <c r="B153" s="90" t="s">
        <v>158</v>
      </c>
      <c r="C153" s="90" t="s">
        <v>177</v>
      </c>
      <c r="D153" s="90" t="s">
        <v>158</v>
      </c>
      <c r="E153" s="125">
        <v>0.19</v>
      </c>
    </row>
    <row r="154" spans="1:5" x14ac:dyDescent="0.3">
      <c r="A154" s="124">
        <v>45771</v>
      </c>
      <c r="B154" s="123" t="s">
        <v>282</v>
      </c>
      <c r="C154" s="90" t="s">
        <v>177</v>
      </c>
      <c r="D154" s="90" t="s">
        <v>168</v>
      </c>
      <c r="E154" s="125">
        <v>210</v>
      </c>
    </row>
    <row r="155" spans="1:5" x14ac:dyDescent="0.3">
      <c r="A155" s="124">
        <v>45772</v>
      </c>
      <c r="B155" s="90" t="s">
        <v>158</v>
      </c>
      <c r="C155" s="90" t="s">
        <v>177</v>
      </c>
      <c r="D155" s="90" t="s">
        <v>158</v>
      </c>
      <c r="E155" s="125">
        <v>0.2</v>
      </c>
    </row>
    <row r="156" spans="1:5" x14ac:dyDescent="0.3">
      <c r="A156" s="124">
        <v>45773</v>
      </c>
      <c r="B156" s="90" t="s">
        <v>283</v>
      </c>
      <c r="C156" s="90" t="s">
        <v>177</v>
      </c>
      <c r="D156" s="90" t="s">
        <v>169</v>
      </c>
      <c r="E156" s="125">
        <v>5</v>
      </c>
    </row>
    <row r="157" spans="1:5" x14ac:dyDescent="0.3">
      <c r="A157" s="124">
        <v>45774</v>
      </c>
      <c r="B157" s="123" t="s">
        <v>284</v>
      </c>
      <c r="C157" s="90" t="s">
        <v>177</v>
      </c>
      <c r="D157" s="90" t="s">
        <v>168</v>
      </c>
      <c r="E157" s="125">
        <v>261</v>
      </c>
    </row>
    <row r="158" spans="1:5" x14ac:dyDescent="0.3">
      <c r="A158" s="124">
        <v>45775</v>
      </c>
      <c r="B158" t="s">
        <v>158</v>
      </c>
      <c r="C158" s="90" t="s">
        <v>177</v>
      </c>
      <c r="D158" s="90" t="s">
        <v>158</v>
      </c>
      <c r="E158" s="125">
        <v>0.28000000000000003</v>
      </c>
    </row>
    <row r="159" spans="1:5" x14ac:dyDescent="0.3">
      <c r="A159" s="124">
        <v>45776</v>
      </c>
      <c r="B159" t="s">
        <v>158</v>
      </c>
      <c r="C159" s="90" t="s">
        <v>177</v>
      </c>
      <c r="D159" s="90" t="s">
        <v>158</v>
      </c>
      <c r="E159" s="125">
        <v>0.41</v>
      </c>
    </row>
    <row r="160" spans="1:5" x14ac:dyDescent="0.3">
      <c r="A160" s="124">
        <v>45777</v>
      </c>
      <c r="B160" t="s">
        <v>158</v>
      </c>
      <c r="C160" s="90" t="s">
        <v>177</v>
      </c>
      <c r="D160" s="90" t="s">
        <v>158</v>
      </c>
      <c r="E160" s="125">
        <v>0.39</v>
      </c>
    </row>
    <row r="161" spans="1:5" x14ac:dyDescent="0.3">
      <c r="A161" s="124">
        <v>45777</v>
      </c>
      <c r="B161" t="s">
        <v>237</v>
      </c>
      <c r="C161" s="90" t="s">
        <v>177</v>
      </c>
      <c r="D161" s="90" t="s">
        <v>173</v>
      </c>
      <c r="E161" s="125">
        <v>70</v>
      </c>
    </row>
    <row r="162" spans="1:5" x14ac:dyDescent="0.3">
      <c r="A162" s="124">
        <v>45779</v>
      </c>
      <c r="B162" t="s">
        <v>158</v>
      </c>
      <c r="C162" s="90" t="s">
        <v>177</v>
      </c>
      <c r="D162" s="90" t="s">
        <v>158</v>
      </c>
      <c r="E162" s="125">
        <v>0.4</v>
      </c>
    </row>
    <row r="163" spans="1:5" x14ac:dyDescent="0.3">
      <c r="A163" s="124">
        <v>45779</v>
      </c>
      <c r="B163" s="163" t="s">
        <v>249</v>
      </c>
      <c r="C163" s="90" t="s">
        <v>177</v>
      </c>
      <c r="D163" s="90" t="s">
        <v>168</v>
      </c>
      <c r="E163" s="125">
        <v>140</v>
      </c>
    </row>
    <row r="164" spans="1:5" x14ac:dyDescent="0.3">
      <c r="A164" s="124">
        <v>45779</v>
      </c>
      <c r="B164" t="s">
        <v>285</v>
      </c>
      <c r="C164" s="90" t="s">
        <v>177</v>
      </c>
      <c r="D164" s="90" t="s">
        <v>169</v>
      </c>
      <c r="E164" s="125">
        <v>40</v>
      </c>
    </row>
    <row r="165" spans="1:5" x14ac:dyDescent="0.3">
      <c r="A165" s="124">
        <v>45780</v>
      </c>
      <c r="B165" t="s">
        <v>237</v>
      </c>
      <c r="C165" s="90" t="s">
        <v>177</v>
      </c>
      <c r="D165" s="90" t="s">
        <v>169</v>
      </c>
      <c r="E165" s="125">
        <v>70</v>
      </c>
    </row>
  </sheetData>
  <pageMargins left="0.511811024" right="0.511811024" top="0.78740157499999996" bottom="0.78740157499999996" header="0.31496062000000002" footer="0.31496062000000002"/>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B4D3DC03-8436-4864-BF45-B08666F4105E}">
          <x14:formula1>
            <xm:f>Planilha4!$G$1:$G$7</xm:f>
          </x14:formula1>
          <xm:sqref>D1:D1048572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2">
    <tabColor rgb="FFFF0000"/>
  </sheetPr>
  <dimension ref="A1:X103"/>
  <sheetViews>
    <sheetView topLeftCell="C75" zoomScale="70" zoomScaleNormal="70" workbookViewId="0">
      <selection activeCell="I74" sqref="I74:I76"/>
    </sheetView>
  </sheetViews>
  <sheetFormatPr defaultColWidth="9.109375" defaultRowHeight="14.4" x14ac:dyDescent="0.3"/>
  <cols>
    <col min="1" max="1" width="20.109375" style="1" customWidth="1"/>
    <col min="2" max="2" width="41.6640625" style="1" bestFit="1" customWidth="1"/>
    <col min="3" max="3" width="27.5546875" style="1" customWidth="1"/>
    <col min="4" max="6" width="14.33203125" style="2" customWidth="1"/>
    <col min="7" max="7" width="17.6640625" style="2" customWidth="1"/>
    <col min="8" max="8" width="17" style="2" customWidth="1"/>
    <col min="9" max="9" width="16.5546875" style="2" customWidth="1"/>
    <col min="10" max="10" width="14.33203125" style="2" customWidth="1"/>
    <col min="11" max="11" width="21.44140625" style="2" customWidth="1"/>
    <col min="12" max="12" width="13.6640625" style="2" customWidth="1"/>
    <col min="13" max="13" width="12.6640625" style="2" customWidth="1"/>
    <col min="14" max="14" width="12.44140625" style="2" customWidth="1"/>
    <col min="15" max="15" width="17" style="59" customWidth="1"/>
    <col min="16" max="16" width="17.44140625" style="2" customWidth="1"/>
    <col min="17" max="17" width="19.33203125" style="2" customWidth="1"/>
    <col min="18" max="18" width="14.88671875" style="64" customWidth="1"/>
    <col min="19" max="19" width="21.109375" style="1" bestFit="1" customWidth="1"/>
    <col min="20" max="20" width="17.44140625" style="1" bestFit="1" customWidth="1"/>
    <col min="21" max="21" width="17.44140625" style="3" customWidth="1"/>
    <col min="22" max="22" width="17.44140625" style="1" bestFit="1" customWidth="1"/>
    <col min="23" max="23" width="15.88671875" style="1" customWidth="1"/>
    <col min="24" max="24" width="10" style="1" bestFit="1" customWidth="1"/>
    <col min="25" max="16384" width="9.109375" style="1"/>
  </cols>
  <sheetData>
    <row r="1" spans="1:24" s="13" customFormat="1" ht="49.5" customHeight="1" x14ac:dyDescent="0.3">
      <c r="A1" s="11" t="s">
        <v>25</v>
      </c>
      <c r="B1" s="11" t="s">
        <v>0</v>
      </c>
      <c r="C1" s="11" t="s">
        <v>21</v>
      </c>
      <c r="D1" s="12" t="s">
        <v>22</v>
      </c>
      <c r="E1" s="12" t="s">
        <v>23</v>
      </c>
      <c r="F1" s="12" t="s">
        <v>24</v>
      </c>
      <c r="G1" s="12" t="s">
        <v>28</v>
      </c>
      <c r="H1" s="12" t="s">
        <v>31</v>
      </c>
      <c r="I1" s="12" t="s">
        <v>34</v>
      </c>
      <c r="J1" s="12" t="s">
        <v>35</v>
      </c>
      <c r="K1" s="15" t="s">
        <v>89</v>
      </c>
      <c r="L1" s="12" t="s">
        <v>29</v>
      </c>
      <c r="M1" s="12" t="s">
        <v>1</v>
      </c>
      <c r="N1" s="12" t="s">
        <v>3</v>
      </c>
      <c r="O1" s="58" t="s">
        <v>2</v>
      </c>
      <c r="P1" s="15" t="s">
        <v>36</v>
      </c>
      <c r="Q1" s="12" t="s">
        <v>102</v>
      </c>
      <c r="R1" s="15" t="s">
        <v>15</v>
      </c>
      <c r="S1" s="12" t="s">
        <v>103</v>
      </c>
      <c r="T1" s="12" t="s">
        <v>37</v>
      </c>
      <c r="U1" s="47" t="s">
        <v>104</v>
      </c>
      <c r="V1" s="15" t="s">
        <v>38</v>
      </c>
    </row>
    <row r="2" spans="1:24" s="71" customFormat="1" ht="19.95" customHeight="1" x14ac:dyDescent="0.3">
      <c r="A2" s="65" t="s">
        <v>41</v>
      </c>
      <c r="B2" s="24" t="s">
        <v>87</v>
      </c>
      <c r="C2" s="67" t="s">
        <v>20</v>
      </c>
      <c r="D2" s="68">
        <v>6</v>
      </c>
      <c r="E2" s="69">
        <v>395</v>
      </c>
      <c r="F2" s="69">
        <v>395</v>
      </c>
      <c r="G2" s="68">
        <f t="shared" ref="G2:G9" si="0">IFERROR(D2/E2,0)</f>
        <v>1.5189873417721518E-2</v>
      </c>
      <c r="H2" s="68">
        <f t="shared" ref="H2:H9" si="1">G2*F2</f>
        <v>6</v>
      </c>
      <c r="I2" s="184">
        <f>SUM(H2:H5)</f>
        <v>19.2</v>
      </c>
      <c r="J2" s="199">
        <v>370</v>
      </c>
      <c r="K2" s="202">
        <f>J2/18</f>
        <v>20.555555555555557</v>
      </c>
      <c r="L2" s="184">
        <v>0</v>
      </c>
      <c r="M2" s="184">
        <f>K2*0.06</f>
        <v>1.2333333333333334</v>
      </c>
      <c r="N2" s="184">
        <v>1</v>
      </c>
      <c r="O2" s="193">
        <v>0</v>
      </c>
      <c r="P2" s="196">
        <f>(I2+L2+M2+N2)*(1+O2)+(0.5)</f>
        <v>21.933333333333334</v>
      </c>
      <c r="Q2" s="184">
        <f>IFERROR(P2/K2,0)</f>
        <v>1.067027027027027</v>
      </c>
      <c r="R2" s="178">
        <f>IFERROR(Q2+T2,0)</f>
        <v>1.9953405405405404</v>
      </c>
      <c r="S2" s="169">
        <v>0.87</v>
      </c>
      <c r="T2" s="172">
        <f>'Custo Produto'!$Q2*'Custo Produto'!$S2</f>
        <v>0.92831351351351354</v>
      </c>
      <c r="U2" s="175">
        <f>T2/R2</f>
        <v>0.46524064171122997</v>
      </c>
      <c r="V2" s="178">
        <f>T2*K2</f>
        <v>19.082000000000001</v>
      </c>
      <c r="W2" s="167"/>
    </row>
    <row r="3" spans="1:24" s="71" customFormat="1" ht="19.95" customHeight="1" x14ac:dyDescent="0.3">
      <c r="A3" s="65" t="s">
        <v>41</v>
      </c>
      <c r="B3" s="24" t="s">
        <v>87</v>
      </c>
      <c r="C3" s="67" t="s">
        <v>30</v>
      </c>
      <c r="D3" s="68">
        <v>3</v>
      </c>
      <c r="E3" s="69">
        <v>200</v>
      </c>
      <c r="F3" s="69">
        <v>100</v>
      </c>
      <c r="G3" s="68">
        <f t="shared" si="0"/>
        <v>1.4999999999999999E-2</v>
      </c>
      <c r="H3" s="68">
        <f t="shared" si="1"/>
        <v>1.5</v>
      </c>
      <c r="I3" s="185"/>
      <c r="J3" s="200"/>
      <c r="K3" s="203"/>
      <c r="L3" s="185"/>
      <c r="M3" s="185"/>
      <c r="N3" s="185"/>
      <c r="O3" s="194"/>
      <c r="P3" s="197"/>
      <c r="Q3" s="185"/>
      <c r="R3" s="179"/>
      <c r="S3" s="170"/>
      <c r="T3" s="173"/>
      <c r="U3" s="176"/>
      <c r="V3" s="179"/>
      <c r="W3" s="168"/>
    </row>
    <row r="4" spans="1:24" s="71" customFormat="1" ht="19.95" customHeight="1" x14ac:dyDescent="0.3">
      <c r="A4" s="65" t="s">
        <v>41</v>
      </c>
      <c r="B4" s="24" t="s">
        <v>87</v>
      </c>
      <c r="C4" s="67" t="s">
        <v>32</v>
      </c>
      <c r="D4" s="68">
        <v>20</v>
      </c>
      <c r="E4" s="69">
        <v>400</v>
      </c>
      <c r="F4" s="69">
        <v>126</v>
      </c>
      <c r="G4" s="68">
        <f t="shared" si="0"/>
        <v>0.05</v>
      </c>
      <c r="H4" s="68">
        <f t="shared" si="1"/>
        <v>6.3000000000000007</v>
      </c>
      <c r="I4" s="185"/>
      <c r="J4" s="200"/>
      <c r="K4" s="203"/>
      <c r="L4" s="185"/>
      <c r="M4" s="185"/>
      <c r="N4" s="185"/>
      <c r="O4" s="194"/>
      <c r="P4" s="197"/>
      <c r="Q4" s="185"/>
      <c r="R4" s="179"/>
      <c r="S4" s="170"/>
      <c r="T4" s="173"/>
      <c r="U4" s="176"/>
      <c r="V4" s="179"/>
      <c r="W4" s="168"/>
      <c r="X4" s="73"/>
    </row>
    <row r="5" spans="1:24" s="71" customFormat="1" ht="19.95" customHeight="1" x14ac:dyDescent="0.3">
      <c r="A5" s="65" t="s">
        <v>41</v>
      </c>
      <c r="B5" s="24" t="s">
        <v>87</v>
      </c>
      <c r="C5" s="67" t="s">
        <v>88</v>
      </c>
      <c r="D5" s="68">
        <v>45</v>
      </c>
      <c r="E5" s="69">
        <v>700</v>
      </c>
      <c r="F5" s="69">
        <v>84</v>
      </c>
      <c r="G5" s="68">
        <f t="shared" si="0"/>
        <v>6.4285714285714279E-2</v>
      </c>
      <c r="H5" s="68">
        <f t="shared" si="1"/>
        <v>5.3999999999999995</v>
      </c>
      <c r="I5" s="186"/>
      <c r="J5" s="201"/>
      <c r="K5" s="204"/>
      <c r="L5" s="186"/>
      <c r="M5" s="186"/>
      <c r="N5" s="186"/>
      <c r="O5" s="195"/>
      <c r="P5" s="198"/>
      <c r="Q5" s="186"/>
      <c r="R5" s="180"/>
      <c r="S5" s="171"/>
      <c r="T5" s="174"/>
      <c r="U5" s="177"/>
      <c r="V5" s="180"/>
      <c r="W5" s="70"/>
      <c r="X5" s="73"/>
    </row>
    <row r="6" spans="1:24" s="71" customFormat="1" ht="19.95" customHeight="1" x14ac:dyDescent="0.3">
      <c r="A6" s="66" t="s">
        <v>44</v>
      </c>
      <c r="B6" s="24" t="s">
        <v>26</v>
      </c>
      <c r="C6" s="67" t="s">
        <v>20</v>
      </c>
      <c r="D6" s="68">
        <v>6</v>
      </c>
      <c r="E6" s="69">
        <v>395</v>
      </c>
      <c r="F6" s="69">
        <v>395</v>
      </c>
      <c r="G6" s="68">
        <f t="shared" si="0"/>
        <v>1.5189873417721518E-2</v>
      </c>
      <c r="H6" s="68">
        <f t="shared" si="1"/>
        <v>6</v>
      </c>
      <c r="I6" s="184">
        <f>SUM(H6:H9)</f>
        <v>10.47448</v>
      </c>
      <c r="J6" s="199">
        <v>338</v>
      </c>
      <c r="K6" s="202">
        <f>J6/18</f>
        <v>18.777777777777779</v>
      </c>
      <c r="L6" s="184">
        <v>1</v>
      </c>
      <c r="M6" s="184">
        <f>K6*0.06</f>
        <v>1.1266666666666667</v>
      </c>
      <c r="N6" s="184">
        <v>1</v>
      </c>
      <c r="O6" s="193">
        <v>0</v>
      </c>
      <c r="P6" s="196">
        <f>(I6+L6+M6+N6)*(1+O6)+(0.5)</f>
        <v>14.101146666666667</v>
      </c>
      <c r="Q6" s="184">
        <f>IFERROR(P6/K6,0)</f>
        <v>0.75094863905325437</v>
      </c>
      <c r="R6" s="178">
        <f>IFERROR(Q6+T6,0)</f>
        <v>1.659596492307692</v>
      </c>
      <c r="S6" s="169">
        <v>1.21</v>
      </c>
      <c r="T6" s="172">
        <f>'Custo Produto'!$Q6*'Custo Produto'!$S6</f>
        <v>0.90864785325443775</v>
      </c>
      <c r="U6" s="175">
        <f>T6/R6</f>
        <v>0.54751131221719462</v>
      </c>
      <c r="V6" s="178">
        <f>T6*K6</f>
        <v>17.062387466666664</v>
      </c>
      <c r="W6" s="72"/>
      <c r="X6" s="73"/>
    </row>
    <row r="7" spans="1:24" s="71" customFormat="1" ht="19.95" customHeight="1" x14ac:dyDescent="0.3">
      <c r="A7" s="66" t="s">
        <v>44</v>
      </c>
      <c r="B7" s="24" t="s">
        <v>26</v>
      </c>
      <c r="C7" s="67" t="s">
        <v>30</v>
      </c>
      <c r="D7" s="68">
        <v>3</v>
      </c>
      <c r="E7" s="69">
        <v>200</v>
      </c>
      <c r="F7" s="69">
        <v>100</v>
      </c>
      <c r="G7" s="68">
        <f t="shared" si="0"/>
        <v>1.4999999999999999E-2</v>
      </c>
      <c r="H7" s="68">
        <f t="shared" si="1"/>
        <v>1.5</v>
      </c>
      <c r="I7" s="185"/>
      <c r="J7" s="200"/>
      <c r="K7" s="203"/>
      <c r="L7" s="185"/>
      <c r="M7" s="185"/>
      <c r="N7" s="185"/>
      <c r="O7" s="194"/>
      <c r="P7" s="197"/>
      <c r="Q7" s="185"/>
      <c r="R7" s="179"/>
      <c r="S7" s="170"/>
      <c r="T7" s="173"/>
      <c r="U7" s="176"/>
      <c r="V7" s="179"/>
      <c r="W7" s="72"/>
      <c r="X7" s="73"/>
    </row>
    <row r="8" spans="1:24" s="71" customFormat="1" ht="19.95" customHeight="1" x14ac:dyDescent="0.3">
      <c r="A8" s="66" t="s">
        <v>44</v>
      </c>
      <c r="B8" s="24" t="s">
        <v>26</v>
      </c>
      <c r="C8" s="67" t="s">
        <v>152</v>
      </c>
      <c r="D8" s="68">
        <v>12.99</v>
      </c>
      <c r="E8" s="69">
        <v>500</v>
      </c>
      <c r="F8" s="69">
        <v>76</v>
      </c>
      <c r="G8" s="68">
        <f t="shared" ref="G8" si="2">IFERROR(D8/E8,0)</f>
        <v>2.598E-2</v>
      </c>
      <c r="H8" s="68">
        <f t="shared" ref="H8" si="3">G8*F8</f>
        <v>1.97448</v>
      </c>
      <c r="I8" s="185"/>
      <c r="J8" s="200"/>
      <c r="K8" s="203"/>
      <c r="L8" s="185"/>
      <c r="M8" s="185"/>
      <c r="N8" s="185"/>
      <c r="O8" s="194"/>
      <c r="P8" s="197"/>
      <c r="Q8" s="185"/>
      <c r="R8" s="179"/>
      <c r="S8" s="170"/>
      <c r="T8" s="173"/>
      <c r="U8" s="176"/>
      <c r="V8" s="179"/>
      <c r="W8" s="72"/>
      <c r="X8" s="73"/>
    </row>
    <row r="9" spans="1:24" s="71" customFormat="1" ht="19.95" customHeight="1" x14ac:dyDescent="0.3">
      <c r="A9" s="66" t="s">
        <v>44</v>
      </c>
      <c r="B9" s="24" t="s">
        <v>26</v>
      </c>
      <c r="C9" s="67" t="s">
        <v>33</v>
      </c>
      <c r="D9" s="68">
        <v>8</v>
      </c>
      <c r="E9" s="69">
        <v>400</v>
      </c>
      <c r="F9" s="69">
        <v>50</v>
      </c>
      <c r="G9" s="68">
        <f t="shared" si="0"/>
        <v>0.02</v>
      </c>
      <c r="H9" s="68">
        <f t="shared" si="1"/>
        <v>1</v>
      </c>
      <c r="I9" s="186"/>
      <c r="J9" s="201"/>
      <c r="K9" s="204"/>
      <c r="L9" s="186"/>
      <c r="M9" s="186"/>
      <c r="N9" s="186"/>
      <c r="O9" s="195"/>
      <c r="P9" s="198"/>
      <c r="Q9" s="186"/>
      <c r="R9" s="180"/>
      <c r="S9" s="171"/>
      <c r="T9" s="174"/>
      <c r="U9" s="177"/>
      <c r="V9" s="180"/>
      <c r="W9" s="72"/>
      <c r="X9" s="73"/>
    </row>
    <row r="10" spans="1:24" s="71" customFormat="1" ht="19.95" customHeight="1" x14ac:dyDescent="0.3">
      <c r="A10" s="66" t="s">
        <v>44</v>
      </c>
      <c r="B10" s="24" t="s">
        <v>42</v>
      </c>
      <c r="C10" s="67" t="s">
        <v>20</v>
      </c>
      <c r="D10" s="68">
        <v>6</v>
      </c>
      <c r="E10" s="69">
        <v>395</v>
      </c>
      <c r="F10" s="69">
        <v>395</v>
      </c>
      <c r="G10" s="68">
        <f t="shared" ref="G10:G28" si="4">IFERROR(D10/E10,0)</f>
        <v>1.5189873417721518E-2</v>
      </c>
      <c r="H10" s="68">
        <f t="shared" ref="H10:H28" si="5">G10*F10</f>
        <v>6</v>
      </c>
      <c r="I10" s="184">
        <f>SUM(H10:H12)</f>
        <v>12.45809523809524</v>
      </c>
      <c r="J10" s="199">
        <v>337</v>
      </c>
      <c r="K10" s="202">
        <f>J10/18</f>
        <v>18.722222222222221</v>
      </c>
      <c r="L10" s="184">
        <v>0</v>
      </c>
      <c r="M10" s="184">
        <f>K10*0.06</f>
        <v>1.1233333333333333</v>
      </c>
      <c r="N10" s="184">
        <v>1</v>
      </c>
      <c r="O10" s="193">
        <v>0</v>
      </c>
      <c r="P10" s="196">
        <f>(I10+L10+M10+N10)*(1+O10)+(0.5)</f>
        <v>15.081428571428573</v>
      </c>
      <c r="Q10" s="184">
        <f>IFERROR(P10/K10,0)</f>
        <v>0.80553624417125913</v>
      </c>
      <c r="R10" s="178">
        <f>IFERROR(Q10+T10,0)</f>
        <v>1.6594046629927939</v>
      </c>
      <c r="S10" s="169">
        <v>1.06</v>
      </c>
      <c r="T10" s="172">
        <f>'Custo Produto'!$Q10*'Custo Produto'!$S10</f>
        <v>0.85386841882153475</v>
      </c>
      <c r="U10" s="175">
        <f>T10/R10</f>
        <v>0.5145631067961165</v>
      </c>
      <c r="V10" s="178">
        <f>T10*K10</f>
        <v>15.986314285714288</v>
      </c>
      <c r="W10" s="72"/>
      <c r="X10" s="73"/>
    </row>
    <row r="11" spans="1:24" s="71" customFormat="1" ht="19.95" customHeight="1" x14ac:dyDescent="0.3">
      <c r="A11" s="66" t="s">
        <v>44</v>
      </c>
      <c r="B11" s="24" t="s">
        <v>42</v>
      </c>
      <c r="C11" s="67" t="s">
        <v>30</v>
      </c>
      <c r="D11" s="68">
        <v>3</v>
      </c>
      <c r="E11" s="69">
        <v>200</v>
      </c>
      <c r="F11" s="69">
        <v>100</v>
      </c>
      <c r="G11" s="68">
        <f t="shared" si="4"/>
        <v>1.4999999999999999E-2</v>
      </c>
      <c r="H11" s="68">
        <f t="shared" si="5"/>
        <v>1.5</v>
      </c>
      <c r="I11" s="185"/>
      <c r="J11" s="200"/>
      <c r="K11" s="203"/>
      <c r="L11" s="185"/>
      <c r="M11" s="185"/>
      <c r="N11" s="185"/>
      <c r="O11" s="194"/>
      <c r="P11" s="197"/>
      <c r="Q11" s="185"/>
      <c r="R11" s="179"/>
      <c r="S11" s="170"/>
      <c r="T11" s="173"/>
      <c r="U11" s="176"/>
      <c r="V11" s="179"/>
      <c r="W11" s="72"/>
      <c r="X11" s="73"/>
    </row>
    <row r="12" spans="1:24" s="71" customFormat="1" ht="19.95" customHeight="1" x14ac:dyDescent="0.3">
      <c r="A12" s="66" t="s">
        <v>44</v>
      </c>
      <c r="B12" s="24" t="s">
        <v>42</v>
      </c>
      <c r="C12" s="67" t="s">
        <v>43</v>
      </c>
      <c r="D12" s="74">
        <v>10.96</v>
      </c>
      <c r="E12" s="67">
        <v>210</v>
      </c>
      <c r="F12" s="69">
        <v>95</v>
      </c>
      <c r="G12" s="68">
        <f t="shared" si="4"/>
        <v>5.2190476190476197E-2</v>
      </c>
      <c r="H12" s="68">
        <f t="shared" si="5"/>
        <v>4.9580952380952388</v>
      </c>
      <c r="I12" s="186"/>
      <c r="J12" s="201"/>
      <c r="K12" s="204"/>
      <c r="L12" s="186"/>
      <c r="M12" s="186"/>
      <c r="N12" s="186"/>
      <c r="O12" s="195"/>
      <c r="P12" s="198"/>
      <c r="Q12" s="186"/>
      <c r="R12" s="180"/>
      <c r="S12" s="171"/>
      <c r="T12" s="174"/>
      <c r="U12" s="177"/>
      <c r="V12" s="180"/>
      <c r="W12" s="72"/>
      <c r="X12" s="73"/>
    </row>
    <row r="13" spans="1:24" s="71" customFormat="1" ht="19.95" customHeight="1" x14ac:dyDescent="0.3">
      <c r="A13" s="66" t="s">
        <v>44</v>
      </c>
      <c r="B13" s="24" t="s">
        <v>121</v>
      </c>
      <c r="C13" s="67" t="s">
        <v>20</v>
      </c>
      <c r="D13" s="68">
        <v>6</v>
      </c>
      <c r="E13" s="69">
        <v>395</v>
      </c>
      <c r="F13" s="69">
        <v>395</v>
      </c>
      <c r="G13" s="68">
        <f t="shared" si="4"/>
        <v>1.5189873417721518E-2</v>
      </c>
      <c r="H13" s="68">
        <f t="shared" si="5"/>
        <v>6</v>
      </c>
      <c r="I13" s="184">
        <f>SUM(H13:H15)</f>
        <v>9.7249999999999996</v>
      </c>
      <c r="J13" s="199">
        <v>390</v>
      </c>
      <c r="K13" s="202">
        <f>J13/18</f>
        <v>21.666666666666668</v>
      </c>
      <c r="L13" s="184">
        <v>1</v>
      </c>
      <c r="M13" s="184">
        <f>K13*0.06</f>
        <v>1.3</v>
      </c>
      <c r="N13" s="184">
        <v>1</v>
      </c>
      <c r="O13" s="193">
        <v>0</v>
      </c>
      <c r="P13" s="196">
        <f>(I13+L13+M13+N13)*(1+O13)+(0.5)</f>
        <v>13.525</v>
      </c>
      <c r="Q13" s="184">
        <f>IFERROR(P13/K13,0)</f>
        <v>0.62423076923076926</v>
      </c>
      <c r="R13" s="178">
        <f>IFERROR(Q13+T13,0)</f>
        <v>1.6604538461538461</v>
      </c>
      <c r="S13" s="169">
        <v>1.66</v>
      </c>
      <c r="T13" s="172">
        <f>'Custo Produto'!$Q13*'Custo Produto'!$S13</f>
        <v>1.0362230769230769</v>
      </c>
      <c r="U13" s="175">
        <f>T13/R13</f>
        <v>0.62406015037593987</v>
      </c>
      <c r="V13" s="178">
        <f>T13*K13</f>
        <v>22.451499999999999</v>
      </c>
      <c r="W13" s="72"/>
      <c r="X13" s="73"/>
    </row>
    <row r="14" spans="1:24" s="71" customFormat="1" ht="19.95" customHeight="1" x14ac:dyDescent="0.3">
      <c r="A14" s="66" t="s">
        <v>44</v>
      </c>
      <c r="B14" s="24" t="s">
        <v>121</v>
      </c>
      <c r="C14" s="67" t="s">
        <v>30</v>
      </c>
      <c r="D14" s="68">
        <v>3</v>
      </c>
      <c r="E14" s="69">
        <v>200</v>
      </c>
      <c r="F14" s="69">
        <v>100</v>
      </c>
      <c r="G14" s="68">
        <f t="shared" si="4"/>
        <v>1.4999999999999999E-2</v>
      </c>
      <c r="H14" s="68">
        <f t="shared" si="5"/>
        <v>1.5</v>
      </c>
      <c r="I14" s="185"/>
      <c r="J14" s="200"/>
      <c r="K14" s="203"/>
      <c r="L14" s="185"/>
      <c r="M14" s="185"/>
      <c r="N14" s="185"/>
      <c r="O14" s="194"/>
      <c r="P14" s="197"/>
      <c r="Q14" s="185"/>
      <c r="R14" s="179"/>
      <c r="S14" s="170"/>
      <c r="T14" s="173"/>
      <c r="U14" s="176"/>
      <c r="V14" s="179"/>
      <c r="W14" s="72"/>
      <c r="X14" s="73"/>
    </row>
    <row r="15" spans="1:24" s="71" customFormat="1" ht="19.95" customHeight="1" x14ac:dyDescent="0.3">
      <c r="A15" s="66" t="s">
        <v>44</v>
      </c>
      <c r="B15" s="24" t="s">
        <v>121</v>
      </c>
      <c r="C15" s="67" t="s">
        <v>45</v>
      </c>
      <c r="D15" s="74">
        <v>4.45</v>
      </c>
      <c r="E15" s="67">
        <v>100</v>
      </c>
      <c r="F15" s="69">
        <v>50</v>
      </c>
      <c r="G15" s="68">
        <f t="shared" si="4"/>
        <v>4.4500000000000005E-2</v>
      </c>
      <c r="H15" s="68">
        <f t="shared" si="5"/>
        <v>2.2250000000000001</v>
      </c>
      <c r="I15" s="186"/>
      <c r="J15" s="201"/>
      <c r="K15" s="204"/>
      <c r="L15" s="186"/>
      <c r="M15" s="186"/>
      <c r="N15" s="186"/>
      <c r="O15" s="195"/>
      <c r="P15" s="198"/>
      <c r="Q15" s="186"/>
      <c r="R15" s="180"/>
      <c r="S15" s="171"/>
      <c r="T15" s="174"/>
      <c r="U15" s="177"/>
      <c r="V15" s="180"/>
      <c r="W15" s="72"/>
      <c r="X15" s="73"/>
    </row>
    <row r="16" spans="1:24" s="71" customFormat="1" ht="19.95" customHeight="1" x14ac:dyDescent="0.3">
      <c r="A16" s="66" t="s">
        <v>41</v>
      </c>
      <c r="B16" s="24" t="s">
        <v>122</v>
      </c>
      <c r="C16" s="67" t="s">
        <v>20</v>
      </c>
      <c r="D16" s="68">
        <v>6</v>
      </c>
      <c r="E16" s="69">
        <v>395</v>
      </c>
      <c r="F16" s="69">
        <v>395</v>
      </c>
      <c r="G16" s="68">
        <f t="shared" si="4"/>
        <v>1.5189873417721518E-2</v>
      </c>
      <c r="H16" s="68">
        <f t="shared" si="5"/>
        <v>6</v>
      </c>
      <c r="I16" s="184">
        <f>SUM(H16:H19)</f>
        <v>24.811499999999999</v>
      </c>
      <c r="J16" s="199">
        <v>410</v>
      </c>
      <c r="K16" s="202">
        <f>J16/18</f>
        <v>22.777777777777779</v>
      </c>
      <c r="L16" s="184">
        <v>0</v>
      </c>
      <c r="M16" s="184">
        <f>K16*0.06</f>
        <v>1.3666666666666667</v>
      </c>
      <c r="N16" s="184">
        <v>1</v>
      </c>
      <c r="O16" s="193">
        <v>0</v>
      </c>
      <c r="P16" s="196">
        <f>(I16+L16+M16+N16)*(1+O16)+(0.5)</f>
        <v>27.678166666666666</v>
      </c>
      <c r="Q16" s="184">
        <f>IFERROR(P16/K16,0)</f>
        <v>1.2151390243902438</v>
      </c>
      <c r="R16" s="178">
        <f>IFERROR(Q16+T16,0)</f>
        <v>2.0049793902439021</v>
      </c>
      <c r="S16" s="169">
        <v>0.65</v>
      </c>
      <c r="T16" s="172">
        <f>'Custo Produto'!$Q16*'Custo Produto'!$S16</f>
        <v>0.78984036585365847</v>
      </c>
      <c r="U16" s="175">
        <f>T16/R16</f>
        <v>0.39393939393939398</v>
      </c>
      <c r="V16" s="178">
        <f>T16*K16</f>
        <v>17.990808333333334</v>
      </c>
      <c r="W16" s="72"/>
      <c r="X16" s="73"/>
    </row>
    <row r="17" spans="1:24" s="71" customFormat="1" ht="19.95" customHeight="1" x14ac:dyDescent="0.3">
      <c r="A17" s="66" t="s">
        <v>41</v>
      </c>
      <c r="B17" s="24" t="s">
        <v>122</v>
      </c>
      <c r="C17" s="67" t="s">
        <v>30</v>
      </c>
      <c r="D17" s="68">
        <v>3</v>
      </c>
      <c r="E17" s="69">
        <v>200</v>
      </c>
      <c r="F17" s="69">
        <v>100</v>
      </c>
      <c r="G17" s="68">
        <f t="shared" si="4"/>
        <v>1.4999999999999999E-2</v>
      </c>
      <c r="H17" s="68">
        <f t="shared" si="5"/>
        <v>1.5</v>
      </c>
      <c r="I17" s="185"/>
      <c r="J17" s="200"/>
      <c r="K17" s="203"/>
      <c r="L17" s="185"/>
      <c r="M17" s="185"/>
      <c r="N17" s="185"/>
      <c r="O17" s="194"/>
      <c r="P17" s="197"/>
      <c r="Q17" s="185"/>
      <c r="R17" s="179"/>
      <c r="S17" s="170"/>
      <c r="T17" s="173"/>
      <c r="U17" s="176"/>
      <c r="V17" s="179"/>
      <c r="W17" s="72"/>
      <c r="X17" s="73"/>
    </row>
    <row r="18" spans="1:24" s="71" customFormat="1" ht="19.95" customHeight="1" x14ac:dyDescent="0.3">
      <c r="A18" s="66" t="s">
        <v>41</v>
      </c>
      <c r="B18" s="24" t="s">
        <v>122</v>
      </c>
      <c r="C18" s="67" t="s">
        <v>150</v>
      </c>
      <c r="D18" s="68">
        <v>49.3</v>
      </c>
      <c r="E18" s="69">
        <v>400</v>
      </c>
      <c r="F18" s="69">
        <v>92</v>
      </c>
      <c r="G18" s="68">
        <f t="shared" ref="G18" si="6">IFERROR(D18/E18,0)</f>
        <v>0.12325</v>
      </c>
      <c r="H18" s="68">
        <f t="shared" ref="H18" si="7">G18*F18</f>
        <v>11.339</v>
      </c>
      <c r="I18" s="185"/>
      <c r="J18" s="200"/>
      <c r="K18" s="203"/>
      <c r="L18" s="185"/>
      <c r="M18" s="185"/>
      <c r="N18" s="185"/>
      <c r="O18" s="194"/>
      <c r="P18" s="197"/>
      <c r="Q18" s="185"/>
      <c r="R18" s="179"/>
      <c r="S18" s="170"/>
      <c r="T18" s="173"/>
      <c r="U18" s="176"/>
      <c r="V18" s="179"/>
      <c r="W18" s="72"/>
      <c r="X18" s="73"/>
    </row>
    <row r="19" spans="1:24" s="71" customFormat="1" ht="19.95" customHeight="1" x14ac:dyDescent="0.3">
      <c r="A19" s="66" t="s">
        <v>41</v>
      </c>
      <c r="B19" s="24" t="s">
        <v>122</v>
      </c>
      <c r="C19" s="67" t="s">
        <v>139</v>
      </c>
      <c r="D19" s="68">
        <v>23.89</v>
      </c>
      <c r="E19" s="69">
        <v>200</v>
      </c>
      <c r="F19" s="69">
        <v>50</v>
      </c>
      <c r="G19" s="68">
        <f t="shared" si="4"/>
        <v>0.11945</v>
      </c>
      <c r="H19" s="68">
        <f t="shared" si="5"/>
        <v>5.9725000000000001</v>
      </c>
      <c r="I19" s="186"/>
      <c r="J19" s="201"/>
      <c r="K19" s="204"/>
      <c r="L19" s="186"/>
      <c r="M19" s="186"/>
      <c r="N19" s="186"/>
      <c r="O19" s="195"/>
      <c r="P19" s="198"/>
      <c r="Q19" s="186"/>
      <c r="R19" s="180"/>
      <c r="S19" s="171"/>
      <c r="T19" s="174"/>
      <c r="U19" s="177"/>
      <c r="V19" s="180"/>
      <c r="W19" s="72"/>
      <c r="X19" s="73"/>
    </row>
    <row r="20" spans="1:24" s="71" customFormat="1" ht="19.95" customHeight="1" x14ac:dyDescent="0.3">
      <c r="A20" s="65" t="s">
        <v>41</v>
      </c>
      <c r="B20" s="24" t="s">
        <v>101</v>
      </c>
      <c r="C20" s="67" t="s">
        <v>20</v>
      </c>
      <c r="D20" s="68">
        <v>6</v>
      </c>
      <c r="E20" s="69">
        <v>395</v>
      </c>
      <c r="F20" s="69">
        <v>395</v>
      </c>
      <c r="G20" s="68">
        <f t="shared" si="4"/>
        <v>1.5189873417721518E-2</v>
      </c>
      <c r="H20" s="68">
        <f t="shared" si="5"/>
        <v>6</v>
      </c>
      <c r="I20" s="184">
        <f>SUM(H20:H22)</f>
        <v>10.385999999999999</v>
      </c>
      <c r="J20" s="199">
        <v>348</v>
      </c>
      <c r="K20" s="202">
        <f>J20/18</f>
        <v>19.333333333333332</v>
      </c>
      <c r="L20" s="184">
        <v>1</v>
      </c>
      <c r="M20" s="184">
        <f>K20*0.06</f>
        <v>1.1599999999999999</v>
      </c>
      <c r="N20" s="184">
        <v>1</v>
      </c>
      <c r="O20" s="193">
        <v>0</v>
      </c>
      <c r="P20" s="196">
        <f>(I20+L20+M20+N20)*(1+O20)+(0.5)</f>
        <v>14.045999999999999</v>
      </c>
      <c r="Q20" s="184">
        <f>IFERROR(P20/K20,0)</f>
        <v>0.7265172413793104</v>
      </c>
      <c r="R20" s="178">
        <f>IFERROR(Q20+T20,0)</f>
        <v>1.9979224137931035</v>
      </c>
      <c r="S20" s="169">
        <v>1.75</v>
      </c>
      <c r="T20" s="172">
        <f>'Custo Produto'!$Q20*'Custo Produto'!$S20</f>
        <v>1.2714051724137931</v>
      </c>
      <c r="U20" s="175">
        <f>T20/R20</f>
        <v>0.63636363636363635</v>
      </c>
      <c r="V20" s="178">
        <f>T20*K20</f>
        <v>24.580500000000001</v>
      </c>
      <c r="W20" s="72"/>
      <c r="X20" s="73"/>
    </row>
    <row r="21" spans="1:24" s="71" customFormat="1" ht="19.95" customHeight="1" x14ac:dyDescent="0.3">
      <c r="A21" s="65" t="s">
        <v>41</v>
      </c>
      <c r="B21" s="24" t="s">
        <v>101</v>
      </c>
      <c r="C21" s="67" t="s">
        <v>30</v>
      </c>
      <c r="D21" s="68">
        <v>3</v>
      </c>
      <c r="E21" s="69">
        <v>200</v>
      </c>
      <c r="F21" s="69">
        <v>100</v>
      </c>
      <c r="G21" s="68">
        <f t="shared" si="4"/>
        <v>1.4999999999999999E-2</v>
      </c>
      <c r="H21" s="68">
        <f t="shared" si="5"/>
        <v>1.5</v>
      </c>
      <c r="I21" s="185"/>
      <c r="J21" s="200"/>
      <c r="K21" s="203"/>
      <c r="L21" s="185"/>
      <c r="M21" s="185"/>
      <c r="N21" s="185"/>
      <c r="O21" s="194"/>
      <c r="P21" s="197"/>
      <c r="Q21" s="185"/>
      <c r="R21" s="179"/>
      <c r="S21" s="170"/>
      <c r="T21" s="173"/>
      <c r="U21" s="176"/>
      <c r="V21" s="179"/>
      <c r="W21" s="72"/>
      <c r="X21" s="73"/>
    </row>
    <row r="22" spans="1:24" s="71" customFormat="1" ht="19.95" customHeight="1" x14ac:dyDescent="0.3">
      <c r="A22" s="65" t="s">
        <v>41</v>
      </c>
      <c r="B22" s="24" t="s">
        <v>101</v>
      </c>
      <c r="C22" s="67" t="s">
        <v>62</v>
      </c>
      <c r="D22" s="68">
        <v>16.649999999999999</v>
      </c>
      <c r="E22" s="69">
        <v>900</v>
      </c>
      <c r="F22" s="69">
        <v>156</v>
      </c>
      <c r="G22" s="68">
        <f t="shared" si="4"/>
        <v>1.8499999999999999E-2</v>
      </c>
      <c r="H22" s="68">
        <f t="shared" si="5"/>
        <v>2.8859999999999997</v>
      </c>
      <c r="I22" s="186"/>
      <c r="J22" s="201"/>
      <c r="K22" s="204"/>
      <c r="L22" s="186"/>
      <c r="M22" s="186"/>
      <c r="N22" s="186"/>
      <c r="O22" s="195"/>
      <c r="P22" s="198"/>
      <c r="Q22" s="186"/>
      <c r="R22" s="180"/>
      <c r="S22" s="171"/>
      <c r="T22" s="174"/>
      <c r="U22" s="177"/>
      <c r="V22" s="180"/>
      <c r="W22" s="72"/>
      <c r="X22" s="73"/>
    </row>
    <row r="23" spans="1:24" s="71" customFormat="1" ht="19.95" customHeight="1" x14ac:dyDescent="0.3">
      <c r="A23" s="65" t="s">
        <v>44</v>
      </c>
      <c r="B23" s="24" t="s">
        <v>75</v>
      </c>
      <c r="C23" s="67" t="s">
        <v>20</v>
      </c>
      <c r="D23" s="68">
        <v>6</v>
      </c>
      <c r="E23" s="69">
        <v>395</v>
      </c>
      <c r="F23" s="69">
        <v>395</v>
      </c>
      <c r="G23" s="68">
        <f t="shared" si="4"/>
        <v>1.5189873417721518E-2</v>
      </c>
      <c r="H23" s="68">
        <f t="shared" si="5"/>
        <v>6</v>
      </c>
      <c r="I23" s="181">
        <f>SUM(H23:H25)</f>
        <v>12.100000000000001</v>
      </c>
      <c r="J23" s="187">
        <v>370</v>
      </c>
      <c r="K23" s="188">
        <f>J23/18</f>
        <v>20.555555555555557</v>
      </c>
      <c r="L23" s="181">
        <v>0</v>
      </c>
      <c r="M23" s="181">
        <f>K23*0.06</f>
        <v>1.2333333333333334</v>
      </c>
      <c r="N23" s="181">
        <v>1</v>
      </c>
      <c r="O23" s="182">
        <v>0</v>
      </c>
      <c r="P23" s="183">
        <f>(I23+L23+M23+N23)*(1+O23)+(0.5)</f>
        <v>14.833333333333336</v>
      </c>
      <c r="Q23" s="181">
        <f>IFERROR(P23/K23,0)</f>
        <v>0.72162162162162169</v>
      </c>
      <c r="R23" s="189">
        <f>IFERROR(Q23+T23,0)</f>
        <v>1.65972972972973</v>
      </c>
      <c r="S23" s="192">
        <v>1.3</v>
      </c>
      <c r="T23" s="191">
        <f>'Custo Produto'!$Q23*'Custo Produto'!$S23</f>
        <v>0.93810810810810819</v>
      </c>
      <c r="U23" s="190">
        <f>T23/R23</f>
        <v>0.56521739130434778</v>
      </c>
      <c r="V23" s="189">
        <f>T23*K23</f>
        <v>19.283333333333335</v>
      </c>
      <c r="W23" s="167"/>
    </row>
    <row r="24" spans="1:24" s="71" customFormat="1" ht="19.95" customHeight="1" x14ac:dyDescent="0.3">
      <c r="A24" s="65" t="s">
        <v>44</v>
      </c>
      <c r="B24" s="24" t="s">
        <v>75</v>
      </c>
      <c r="C24" s="67" t="s">
        <v>30</v>
      </c>
      <c r="D24" s="68">
        <v>3</v>
      </c>
      <c r="E24" s="69">
        <v>200</v>
      </c>
      <c r="F24" s="69">
        <v>100</v>
      </c>
      <c r="G24" s="68">
        <f t="shared" si="4"/>
        <v>1.4999999999999999E-2</v>
      </c>
      <c r="H24" s="68">
        <f t="shared" si="5"/>
        <v>1.5</v>
      </c>
      <c r="I24" s="181"/>
      <c r="J24" s="187"/>
      <c r="K24" s="188"/>
      <c r="L24" s="181"/>
      <c r="M24" s="181"/>
      <c r="N24" s="181"/>
      <c r="O24" s="182"/>
      <c r="P24" s="183"/>
      <c r="Q24" s="181"/>
      <c r="R24" s="189"/>
      <c r="S24" s="192"/>
      <c r="T24" s="191"/>
      <c r="U24" s="190"/>
      <c r="V24" s="189"/>
      <c r="W24" s="168"/>
    </row>
    <row r="25" spans="1:24" s="71" customFormat="1" ht="19.95" customHeight="1" x14ac:dyDescent="0.3">
      <c r="A25" s="65" t="s">
        <v>44</v>
      </c>
      <c r="B25" s="24" t="s">
        <v>75</v>
      </c>
      <c r="C25" s="67" t="s">
        <v>32</v>
      </c>
      <c r="D25" s="68">
        <v>20</v>
      </c>
      <c r="E25" s="69">
        <v>400</v>
      </c>
      <c r="F25" s="69">
        <v>92</v>
      </c>
      <c r="G25" s="68">
        <f t="shared" si="4"/>
        <v>0.05</v>
      </c>
      <c r="H25" s="68">
        <f t="shared" si="5"/>
        <v>4.6000000000000005</v>
      </c>
      <c r="I25" s="181"/>
      <c r="J25" s="187"/>
      <c r="K25" s="188"/>
      <c r="L25" s="181"/>
      <c r="M25" s="181"/>
      <c r="N25" s="181"/>
      <c r="O25" s="182"/>
      <c r="P25" s="183"/>
      <c r="Q25" s="181"/>
      <c r="R25" s="189"/>
      <c r="S25" s="192"/>
      <c r="T25" s="191"/>
      <c r="U25" s="190"/>
      <c r="V25" s="189"/>
      <c r="W25" s="168"/>
      <c r="X25" s="73"/>
    </row>
    <row r="26" spans="1:24" s="71" customFormat="1" ht="19.95" customHeight="1" x14ac:dyDescent="0.3">
      <c r="A26" s="66" t="s">
        <v>44</v>
      </c>
      <c r="B26" s="24" t="s">
        <v>123</v>
      </c>
      <c r="C26" s="67" t="s">
        <v>20</v>
      </c>
      <c r="D26" s="68">
        <v>6</v>
      </c>
      <c r="E26" s="69">
        <v>395</v>
      </c>
      <c r="F26" s="69">
        <v>395</v>
      </c>
      <c r="G26" s="68">
        <f t="shared" si="4"/>
        <v>1.5189873417721518E-2</v>
      </c>
      <c r="H26" s="68">
        <f t="shared" si="5"/>
        <v>6</v>
      </c>
      <c r="I26" s="184">
        <f>SUM(H26:H28)</f>
        <v>8.5</v>
      </c>
      <c r="J26" s="199">
        <v>338</v>
      </c>
      <c r="K26" s="202">
        <f>J26/18</f>
        <v>18.777777777777779</v>
      </c>
      <c r="L26" s="184">
        <v>1</v>
      </c>
      <c r="M26" s="184">
        <f>(K26+K29)*0.06</f>
        <v>2.2533333333333334</v>
      </c>
      <c r="N26" s="184">
        <v>1</v>
      </c>
      <c r="O26" s="193">
        <v>0</v>
      </c>
      <c r="P26" s="196">
        <f>(I26+L26+M26+N26)*(1+O26)+(0.5)</f>
        <v>13.253333333333334</v>
      </c>
      <c r="Q26" s="184">
        <f>(P26+P29)/(K26+K29)</f>
        <v>0.68573964497041417</v>
      </c>
      <c r="R26" s="178">
        <f>IFERROR(Q26+T26,0)</f>
        <v>1.6594899408284023</v>
      </c>
      <c r="S26" s="169">
        <v>1.42</v>
      </c>
      <c r="T26" s="172">
        <f>'Custo Produto'!$Q26*'Custo Produto'!$S26</f>
        <v>0.97375029585798811</v>
      </c>
      <c r="U26" s="175">
        <f>T26/R26</f>
        <v>0.58677685950413228</v>
      </c>
      <c r="V26" s="178">
        <f>T26*K26</f>
        <v>18.284866666666666</v>
      </c>
      <c r="W26" s="72"/>
      <c r="X26" s="73"/>
    </row>
    <row r="27" spans="1:24" s="71" customFormat="1" ht="19.95" customHeight="1" x14ac:dyDescent="0.3">
      <c r="A27" s="66" t="s">
        <v>44</v>
      </c>
      <c r="B27" s="24" t="s">
        <v>123</v>
      </c>
      <c r="C27" s="67" t="s">
        <v>30</v>
      </c>
      <c r="D27" s="68">
        <v>3</v>
      </c>
      <c r="E27" s="69">
        <v>200</v>
      </c>
      <c r="F27" s="69">
        <v>100</v>
      </c>
      <c r="G27" s="68">
        <f t="shared" si="4"/>
        <v>1.4999999999999999E-2</v>
      </c>
      <c r="H27" s="68">
        <f t="shared" si="5"/>
        <v>1.5</v>
      </c>
      <c r="I27" s="185"/>
      <c r="J27" s="200"/>
      <c r="K27" s="203"/>
      <c r="L27" s="185"/>
      <c r="M27" s="185"/>
      <c r="N27" s="185"/>
      <c r="O27" s="194"/>
      <c r="P27" s="197"/>
      <c r="Q27" s="185"/>
      <c r="R27" s="179"/>
      <c r="S27" s="170"/>
      <c r="T27" s="173"/>
      <c r="U27" s="176"/>
      <c r="V27" s="179"/>
      <c r="W27" s="72"/>
      <c r="X27" s="73"/>
    </row>
    <row r="28" spans="1:24" s="71" customFormat="1" ht="19.95" customHeight="1" x14ac:dyDescent="0.3">
      <c r="A28" s="66" t="s">
        <v>44</v>
      </c>
      <c r="B28" s="24" t="s">
        <v>123</v>
      </c>
      <c r="C28" s="67" t="s">
        <v>33</v>
      </c>
      <c r="D28" s="68">
        <v>8</v>
      </c>
      <c r="E28" s="69">
        <v>400</v>
      </c>
      <c r="F28" s="69">
        <v>50</v>
      </c>
      <c r="G28" s="68">
        <f t="shared" si="4"/>
        <v>0.02</v>
      </c>
      <c r="H28" s="68">
        <f t="shared" si="5"/>
        <v>1</v>
      </c>
      <c r="I28" s="186"/>
      <c r="J28" s="201"/>
      <c r="K28" s="204"/>
      <c r="L28" s="186"/>
      <c r="M28" s="185"/>
      <c r="N28" s="186"/>
      <c r="O28" s="195"/>
      <c r="P28" s="198"/>
      <c r="Q28" s="185"/>
      <c r="R28" s="179"/>
      <c r="S28" s="170"/>
      <c r="T28" s="173"/>
      <c r="U28" s="176"/>
      <c r="V28" s="179"/>
      <c r="W28" s="72"/>
      <c r="X28" s="73"/>
    </row>
    <row r="29" spans="1:24" s="71" customFormat="1" ht="19.95" customHeight="1" x14ac:dyDescent="0.3">
      <c r="A29" s="65" t="s">
        <v>44</v>
      </c>
      <c r="B29" s="24" t="s">
        <v>123</v>
      </c>
      <c r="C29" s="67" t="s">
        <v>20</v>
      </c>
      <c r="D29" s="68">
        <v>6</v>
      </c>
      <c r="E29" s="69">
        <v>395</v>
      </c>
      <c r="F29" s="69">
        <v>395</v>
      </c>
      <c r="G29" s="68">
        <f t="shared" ref="G29:G31" si="8">IFERROR(D29/E29,0)</f>
        <v>1.5189873417721518E-2</v>
      </c>
      <c r="H29" s="68">
        <f t="shared" ref="H29:H31" si="9">G29*F29</f>
        <v>6</v>
      </c>
      <c r="I29" s="181">
        <f>SUM(H29:H31)</f>
        <v>10</v>
      </c>
      <c r="J29" s="187">
        <v>338</v>
      </c>
      <c r="K29" s="188">
        <f>J29/18</f>
        <v>18.777777777777779</v>
      </c>
      <c r="L29" s="181">
        <v>1</v>
      </c>
      <c r="M29" s="185"/>
      <c r="N29" s="181">
        <v>1</v>
      </c>
      <c r="O29" s="182">
        <v>0</v>
      </c>
      <c r="P29" s="183">
        <f>(I29+L29+N29)*(1+O29)+(0.5)</f>
        <v>12.5</v>
      </c>
      <c r="Q29" s="185"/>
      <c r="R29" s="179"/>
      <c r="S29" s="170"/>
      <c r="T29" s="173"/>
      <c r="U29" s="176"/>
      <c r="V29" s="179"/>
      <c r="W29" s="167"/>
    </row>
    <row r="30" spans="1:24" s="71" customFormat="1" ht="19.95" customHeight="1" x14ac:dyDescent="0.3">
      <c r="A30" s="65" t="s">
        <v>44</v>
      </c>
      <c r="B30" s="24" t="s">
        <v>123</v>
      </c>
      <c r="C30" s="67" t="s">
        <v>30</v>
      </c>
      <c r="D30" s="68">
        <v>3</v>
      </c>
      <c r="E30" s="69">
        <v>200</v>
      </c>
      <c r="F30" s="69">
        <v>100</v>
      </c>
      <c r="G30" s="68">
        <f t="shared" si="8"/>
        <v>1.4999999999999999E-2</v>
      </c>
      <c r="H30" s="68">
        <f t="shared" si="9"/>
        <v>1.5</v>
      </c>
      <c r="I30" s="181"/>
      <c r="J30" s="187"/>
      <c r="K30" s="188"/>
      <c r="L30" s="181"/>
      <c r="M30" s="185"/>
      <c r="N30" s="181"/>
      <c r="O30" s="182"/>
      <c r="P30" s="183"/>
      <c r="Q30" s="185"/>
      <c r="R30" s="179"/>
      <c r="S30" s="170"/>
      <c r="T30" s="173"/>
      <c r="U30" s="176"/>
      <c r="V30" s="179"/>
      <c r="W30" s="168"/>
    </row>
    <row r="31" spans="1:24" s="71" customFormat="1" ht="19.95" customHeight="1" x14ac:dyDescent="0.3">
      <c r="A31" s="65" t="s">
        <v>44</v>
      </c>
      <c r="B31" s="24" t="s">
        <v>123</v>
      </c>
      <c r="C31" s="67" t="s">
        <v>32</v>
      </c>
      <c r="D31" s="68">
        <v>20</v>
      </c>
      <c r="E31" s="69">
        <v>400</v>
      </c>
      <c r="F31" s="69">
        <v>50</v>
      </c>
      <c r="G31" s="68">
        <f t="shared" si="8"/>
        <v>0.05</v>
      </c>
      <c r="H31" s="68">
        <f t="shared" si="9"/>
        <v>2.5</v>
      </c>
      <c r="I31" s="181"/>
      <c r="J31" s="187"/>
      <c r="K31" s="188"/>
      <c r="L31" s="181"/>
      <c r="M31" s="186"/>
      <c r="N31" s="181"/>
      <c r="O31" s="182"/>
      <c r="P31" s="183"/>
      <c r="Q31" s="186"/>
      <c r="R31" s="180"/>
      <c r="S31" s="171"/>
      <c r="T31" s="174"/>
      <c r="U31" s="177"/>
      <c r="V31" s="180"/>
      <c r="W31" s="168"/>
      <c r="X31" s="73"/>
    </row>
    <row r="32" spans="1:24" s="71" customFormat="1" ht="19.95" customHeight="1" x14ac:dyDescent="0.3">
      <c r="A32" s="66" t="s">
        <v>44</v>
      </c>
      <c r="B32" s="24" t="s">
        <v>48</v>
      </c>
      <c r="C32" s="67" t="s">
        <v>20</v>
      </c>
      <c r="D32" s="68">
        <v>6</v>
      </c>
      <c r="E32" s="69">
        <v>395</v>
      </c>
      <c r="F32" s="69">
        <v>395</v>
      </c>
      <c r="G32" s="68">
        <f t="shared" ref="G32:G99" si="10">IFERROR(D32/E32,0)</f>
        <v>1.5189873417721518E-2</v>
      </c>
      <c r="H32" s="68">
        <f t="shared" ref="H32:H99" si="11">G32*F32</f>
        <v>6</v>
      </c>
      <c r="I32" s="181">
        <f>SUM(H32:H35)</f>
        <v>10.58</v>
      </c>
      <c r="J32" s="187">
        <v>344</v>
      </c>
      <c r="K32" s="202">
        <f>J32/18</f>
        <v>19.111111111111111</v>
      </c>
      <c r="L32" s="181">
        <v>0</v>
      </c>
      <c r="M32" s="184">
        <f>K32*0.06</f>
        <v>1.1466666666666665</v>
      </c>
      <c r="N32" s="184">
        <v>1</v>
      </c>
      <c r="O32" s="182">
        <v>0</v>
      </c>
      <c r="P32" s="183">
        <f>(I32+L32+M32+N32)*(1+O32)+(0.5)</f>
        <v>13.226666666666667</v>
      </c>
      <c r="Q32" s="181">
        <f>IFERROR(P32/K32,0)</f>
        <v>0.69209302325581401</v>
      </c>
      <c r="R32" s="189">
        <f>IFERROR(Q32+T32,0)</f>
        <v>1.6610232558139537</v>
      </c>
      <c r="S32" s="192">
        <v>1.4</v>
      </c>
      <c r="T32" s="191">
        <f>'Custo Produto'!$Q32*'Custo Produto'!$S32</f>
        <v>0.96893023255813959</v>
      </c>
      <c r="U32" s="175">
        <f>T32/R32</f>
        <v>0.58333333333333326</v>
      </c>
      <c r="V32" s="189">
        <f>T32*K32</f>
        <v>18.517333333333333</v>
      </c>
      <c r="W32" s="72"/>
      <c r="X32" s="73"/>
    </row>
    <row r="33" spans="1:24" s="71" customFormat="1" ht="19.95" customHeight="1" x14ac:dyDescent="0.3">
      <c r="A33" s="66" t="s">
        <v>44</v>
      </c>
      <c r="B33" s="24" t="s">
        <v>48</v>
      </c>
      <c r="C33" s="67" t="s">
        <v>30</v>
      </c>
      <c r="D33" s="68">
        <v>3</v>
      </c>
      <c r="E33" s="69">
        <v>200</v>
      </c>
      <c r="F33" s="69">
        <v>100</v>
      </c>
      <c r="G33" s="68">
        <f t="shared" si="10"/>
        <v>1.4999999999999999E-2</v>
      </c>
      <c r="H33" s="68">
        <f t="shared" si="11"/>
        <v>1.5</v>
      </c>
      <c r="I33" s="181"/>
      <c r="J33" s="187"/>
      <c r="K33" s="203"/>
      <c r="L33" s="181"/>
      <c r="M33" s="185"/>
      <c r="N33" s="185"/>
      <c r="O33" s="182"/>
      <c r="P33" s="183"/>
      <c r="Q33" s="181"/>
      <c r="R33" s="189"/>
      <c r="S33" s="192"/>
      <c r="T33" s="191"/>
      <c r="U33" s="176"/>
      <c r="V33" s="189"/>
      <c r="W33" s="72"/>
      <c r="X33" s="73"/>
    </row>
    <row r="34" spans="1:24" s="71" customFormat="1" ht="19.95" customHeight="1" x14ac:dyDescent="0.3">
      <c r="A34" s="66" t="s">
        <v>44</v>
      </c>
      <c r="B34" s="24" t="s">
        <v>48</v>
      </c>
      <c r="C34" s="67" t="s">
        <v>73</v>
      </c>
      <c r="D34" s="68">
        <v>15</v>
      </c>
      <c r="E34" s="69">
        <v>500</v>
      </c>
      <c r="F34" s="69">
        <v>3</v>
      </c>
      <c r="G34" s="68">
        <f t="shared" ref="G34" si="12">IFERROR(D34/E34,0)</f>
        <v>0.03</v>
      </c>
      <c r="H34" s="68">
        <f t="shared" ref="H34" si="13">G34*F34</f>
        <v>0.09</v>
      </c>
      <c r="I34" s="181"/>
      <c r="J34" s="187"/>
      <c r="K34" s="203"/>
      <c r="L34" s="181"/>
      <c r="M34" s="185"/>
      <c r="N34" s="185"/>
      <c r="O34" s="182"/>
      <c r="P34" s="183"/>
      <c r="Q34" s="181"/>
      <c r="R34" s="189"/>
      <c r="S34" s="192"/>
      <c r="T34" s="191"/>
      <c r="U34" s="176"/>
      <c r="V34" s="189"/>
      <c r="W34" s="72"/>
      <c r="X34" s="73"/>
    </row>
    <row r="35" spans="1:24" s="71" customFormat="1" ht="19.95" customHeight="1" x14ac:dyDescent="0.3">
      <c r="A35" s="66" t="s">
        <v>44</v>
      </c>
      <c r="B35" s="24" t="s">
        <v>48</v>
      </c>
      <c r="C35" s="67" t="s">
        <v>49</v>
      </c>
      <c r="D35" s="68">
        <v>11.96</v>
      </c>
      <c r="E35" s="69">
        <v>200</v>
      </c>
      <c r="F35" s="69">
        <v>50</v>
      </c>
      <c r="G35" s="68">
        <f t="shared" si="10"/>
        <v>5.9800000000000006E-2</v>
      </c>
      <c r="H35" s="68">
        <f t="shared" si="11"/>
        <v>2.99</v>
      </c>
      <c r="I35" s="181"/>
      <c r="J35" s="187"/>
      <c r="K35" s="204"/>
      <c r="L35" s="181"/>
      <c r="M35" s="186"/>
      <c r="N35" s="186"/>
      <c r="O35" s="182"/>
      <c r="P35" s="183"/>
      <c r="Q35" s="181"/>
      <c r="R35" s="189"/>
      <c r="S35" s="192"/>
      <c r="T35" s="191"/>
      <c r="U35" s="177"/>
      <c r="V35" s="189"/>
      <c r="W35" s="72"/>
      <c r="X35" s="73"/>
    </row>
    <row r="36" spans="1:24" s="71" customFormat="1" ht="19.95" customHeight="1" x14ac:dyDescent="0.3">
      <c r="A36" s="66" t="s">
        <v>41</v>
      </c>
      <c r="B36" s="24" t="s">
        <v>124</v>
      </c>
      <c r="C36" s="67" t="s">
        <v>20</v>
      </c>
      <c r="D36" s="68">
        <v>6</v>
      </c>
      <c r="E36" s="69">
        <v>395</v>
      </c>
      <c r="F36" s="69">
        <v>395</v>
      </c>
      <c r="G36" s="68">
        <f t="shared" ref="G36:G38" si="14">IFERROR(D36/E36,0)</f>
        <v>1.5189873417721518E-2</v>
      </c>
      <c r="H36" s="68">
        <f t="shared" ref="H36:H38" si="15">G36*F36</f>
        <v>6</v>
      </c>
      <c r="I36" s="184">
        <f>SUM(H36:H42)</f>
        <v>15.42048</v>
      </c>
      <c r="J36" s="199">
        <v>338</v>
      </c>
      <c r="K36" s="202">
        <f>J36/18</f>
        <v>18.777777777777779</v>
      </c>
      <c r="L36" s="184">
        <v>0</v>
      </c>
      <c r="M36" s="184">
        <f t="shared" ref="M36" si="16">K36*0.06</f>
        <v>1.1266666666666667</v>
      </c>
      <c r="N36" s="184">
        <v>1</v>
      </c>
      <c r="O36" s="193">
        <v>0</v>
      </c>
      <c r="P36" s="196">
        <f t="shared" ref="P36" si="17">(I36+L36+M36+N36)*(1+O36)+(0.5)</f>
        <v>18.047146666666666</v>
      </c>
      <c r="Q36" s="184">
        <f t="shared" ref="Q36" si="18">IFERROR(P36/K36,0)</f>
        <v>0.96109065088757395</v>
      </c>
      <c r="R36" s="178">
        <f t="shared" ref="R36" si="19">IFERROR(Q36+T36,0)</f>
        <v>1.9990685538461537</v>
      </c>
      <c r="S36" s="169">
        <v>1.08</v>
      </c>
      <c r="T36" s="172">
        <f>'Custo Produto'!$Q36*'Custo Produto'!$S36</f>
        <v>1.0379779029585798</v>
      </c>
      <c r="U36" s="175">
        <f t="shared" ref="U36" si="20">T36/R36</f>
        <v>0.51923076923076927</v>
      </c>
      <c r="V36" s="178">
        <f t="shared" ref="V36" si="21">T36*K36</f>
        <v>19.490918399999998</v>
      </c>
      <c r="W36" s="72"/>
      <c r="X36" s="73"/>
    </row>
    <row r="37" spans="1:24" s="71" customFormat="1" ht="19.95" customHeight="1" x14ac:dyDescent="0.3">
      <c r="A37" s="66" t="s">
        <v>41</v>
      </c>
      <c r="B37" s="24" t="s">
        <v>124</v>
      </c>
      <c r="C37" s="67" t="s">
        <v>30</v>
      </c>
      <c r="D37" s="68">
        <v>3</v>
      </c>
      <c r="E37" s="69">
        <v>200</v>
      </c>
      <c r="F37" s="69">
        <v>100</v>
      </c>
      <c r="G37" s="68">
        <f t="shared" si="14"/>
        <v>1.4999999999999999E-2</v>
      </c>
      <c r="H37" s="68">
        <f t="shared" si="15"/>
        <v>1.5</v>
      </c>
      <c r="I37" s="185"/>
      <c r="J37" s="200"/>
      <c r="K37" s="203"/>
      <c r="L37" s="185"/>
      <c r="M37" s="185"/>
      <c r="N37" s="185"/>
      <c r="O37" s="194"/>
      <c r="P37" s="197"/>
      <c r="Q37" s="185"/>
      <c r="R37" s="179"/>
      <c r="S37" s="170"/>
      <c r="T37" s="173"/>
      <c r="U37" s="176"/>
      <c r="V37" s="179"/>
      <c r="W37" s="72"/>
      <c r="X37" s="73"/>
    </row>
    <row r="38" spans="1:24" s="71" customFormat="1" ht="19.95" customHeight="1" x14ac:dyDescent="0.3">
      <c r="A38" s="66" t="s">
        <v>41</v>
      </c>
      <c r="B38" s="24" t="s">
        <v>124</v>
      </c>
      <c r="C38" s="67" t="s">
        <v>33</v>
      </c>
      <c r="D38" s="68">
        <v>8</v>
      </c>
      <c r="E38" s="69">
        <v>400</v>
      </c>
      <c r="F38" s="69">
        <v>50</v>
      </c>
      <c r="G38" s="68">
        <f t="shared" si="14"/>
        <v>0.02</v>
      </c>
      <c r="H38" s="68">
        <f t="shared" si="15"/>
        <v>1</v>
      </c>
      <c r="I38" s="185"/>
      <c r="J38" s="200"/>
      <c r="K38" s="203"/>
      <c r="L38" s="185"/>
      <c r="M38" s="185"/>
      <c r="N38" s="185"/>
      <c r="O38" s="194"/>
      <c r="P38" s="197"/>
      <c r="Q38" s="185"/>
      <c r="R38" s="179"/>
      <c r="S38" s="170"/>
      <c r="T38" s="173"/>
      <c r="U38" s="176"/>
      <c r="V38" s="179"/>
      <c r="W38" s="72"/>
      <c r="X38" s="73"/>
    </row>
    <row r="39" spans="1:24" s="71" customFormat="1" ht="19.95" customHeight="1" x14ac:dyDescent="0.3">
      <c r="A39" s="66" t="s">
        <v>41</v>
      </c>
      <c r="B39" s="24" t="s">
        <v>124</v>
      </c>
      <c r="C39" s="67" t="s">
        <v>152</v>
      </c>
      <c r="D39" s="68">
        <v>12.99</v>
      </c>
      <c r="E39" s="69">
        <v>500</v>
      </c>
      <c r="F39" s="69">
        <v>76</v>
      </c>
      <c r="G39" s="68">
        <f t="shared" ref="G39" si="22">IFERROR(D39/E39,0)</f>
        <v>2.598E-2</v>
      </c>
      <c r="H39" s="68">
        <f t="shared" ref="H39" si="23">G39*F39</f>
        <v>1.97448</v>
      </c>
      <c r="I39" s="185"/>
      <c r="J39" s="200"/>
      <c r="K39" s="203"/>
      <c r="L39" s="185"/>
      <c r="M39" s="185"/>
      <c r="N39" s="185"/>
      <c r="O39" s="194"/>
      <c r="P39" s="197"/>
      <c r="Q39" s="185"/>
      <c r="R39" s="179"/>
      <c r="S39" s="170"/>
      <c r="T39" s="173"/>
      <c r="U39" s="176"/>
      <c r="V39" s="179"/>
      <c r="W39" s="72"/>
      <c r="X39" s="73"/>
    </row>
    <row r="40" spans="1:24" s="71" customFormat="1" ht="19.95" customHeight="1" x14ac:dyDescent="0.3">
      <c r="A40" s="66" t="s">
        <v>41</v>
      </c>
      <c r="B40" s="24" t="s">
        <v>124</v>
      </c>
      <c r="C40" s="67" t="s">
        <v>20</v>
      </c>
      <c r="D40" s="68">
        <v>6</v>
      </c>
      <c r="E40" s="69">
        <v>395</v>
      </c>
      <c r="F40" s="69">
        <v>197.5</v>
      </c>
      <c r="G40" s="68">
        <f t="shared" ref="G40:G42" si="24">IFERROR(D40/E40,0)</f>
        <v>1.5189873417721518E-2</v>
      </c>
      <c r="H40" s="68">
        <f t="shared" ref="H40:H41" si="25">G40*F40</f>
        <v>3</v>
      </c>
      <c r="I40" s="185"/>
      <c r="J40" s="200"/>
      <c r="K40" s="203"/>
      <c r="L40" s="185"/>
      <c r="M40" s="185"/>
      <c r="N40" s="185"/>
      <c r="O40" s="194"/>
      <c r="P40" s="197"/>
      <c r="Q40" s="185"/>
      <c r="R40" s="179"/>
      <c r="S40" s="170"/>
      <c r="T40" s="173"/>
      <c r="U40" s="176"/>
      <c r="V40" s="179"/>
      <c r="W40" s="72"/>
      <c r="X40" s="73"/>
    </row>
    <row r="41" spans="1:24" s="71" customFormat="1" ht="19.95" customHeight="1" x14ac:dyDescent="0.3">
      <c r="A41" s="66" t="s">
        <v>41</v>
      </c>
      <c r="B41" s="24" t="s">
        <v>124</v>
      </c>
      <c r="C41" s="67" t="s">
        <v>30</v>
      </c>
      <c r="D41" s="68">
        <v>3</v>
      </c>
      <c r="E41" s="69">
        <v>200</v>
      </c>
      <c r="F41" s="69">
        <v>50</v>
      </c>
      <c r="G41" s="68">
        <f t="shared" si="24"/>
        <v>1.4999999999999999E-2</v>
      </c>
      <c r="H41" s="68">
        <f t="shared" si="25"/>
        <v>0.75</v>
      </c>
      <c r="I41" s="185"/>
      <c r="J41" s="200"/>
      <c r="K41" s="203"/>
      <c r="L41" s="185"/>
      <c r="M41" s="185"/>
      <c r="N41" s="185"/>
      <c r="O41" s="194"/>
      <c r="P41" s="197"/>
      <c r="Q41" s="185"/>
      <c r="R41" s="179"/>
      <c r="S41" s="170"/>
      <c r="T41" s="173"/>
      <c r="U41" s="176"/>
      <c r="V41" s="179"/>
      <c r="W41" s="72"/>
      <c r="X41" s="73"/>
    </row>
    <row r="42" spans="1:24" s="71" customFormat="1" ht="19.95" customHeight="1" x14ac:dyDescent="0.3">
      <c r="A42" s="66" t="s">
        <v>41</v>
      </c>
      <c r="B42" s="24" t="s">
        <v>124</v>
      </c>
      <c r="C42" s="67" t="s">
        <v>49</v>
      </c>
      <c r="D42" s="68">
        <v>11.96</v>
      </c>
      <c r="E42" s="69">
        <v>200</v>
      </c>
      <c r="F42" s="69">
        <v>20</v>
      </c>
      <c r="G42" s="68">
        <f t="shared" si="24"/>
        <v>5.9800000000000006E-2</v>
      </c>
      <c r="H42" s="68">
        <f>G42*F42</f>
        <v>1.1960000000000002</v>
      </c>
      <c r="I42" s="186"/>
      <c r="J42" s="201"/>
      <c r="K42" s="204"/>
      <c r="L42" s="186"/>
      <c r="M42" s="186"/>
      <c r="N42" s="186"/>
      <c r="O42" s="195"/>
      <c r="P42" s="198"/>
      <c r="Q42" s="186"/>
      <c r="R42" s="180"/>
      <c r="S42" s="171"/>
      <c r="T42" s="174"/>
      <c r="U42" s="177"/>
      <c r="V42" s="180"/>
      <c r="W42" s="72"/>
      <c r="X42" s="73"/>
    </row>
    <row r="43" spans="1:24" s="71" customFormat="1" ht="19.95" customHeight="1" x14ac:dyDescent="0.3">
      <c r="A43" s="66" t="s">
        <v>41</v>
      </c>
      <c r="B43" s="24" t="s">
        <v>125</v>
      </c>
      <c r="C43" s="67" t="s">
        <v>20</v>
      </c>
      <c r="D43" s="68">
        <v>6</v>
      </c>
      <c r="E43" s="69">
        <v>395</v>
      </c>
      <c r="F43" s="69">
        <v>395</v>
      </c>
      <c r="G43" s="68">
        <f t="shared" ref="G43:G50" si="26">IFERROR(D43/E43,0)</f>
        <v>1.5189873417721518E-2</v>
      </c>
      <c r="H43" s="68">
        <f t="shared" ref="H43:H50" si="27">G43*F43</f>
        <v>6</v>
      </c>
      <c r="I43" s="181">
        <f>SUM(H43:H46)</f>
        <v>11.477679999999999</v>
      </c>
      <c r="J43" s="199">
        <v>338</v>
      </c>
      <c r="K43" s="188">
        <f>J43/18</f>
        <v>18.777777777777779</v>
      </c>
      <c r="L43" s="181">
        <v>1</v>
      </c>
      <c r="M43" s="181">
        <f t="shared" ref="M43" si="28">K43*0.06</f>
        <v>1.1266666666666667</v>
      </c>
      <c r="N43" s="181">
        <v>1</v>
      </c>
      <c r="O43" s="182">
        <v>0</v>
      </c>
      <c r="P43" s="183">
        <f>(I43+L43+M43+N43)*(1+O43)+(0.5)</f>
        <v>15.104346666666666</v>
      </c>
      <c r="Q43" s="181">
        <f t="shared" ref="Q43" si="29">IFERROR(P43/K43,0)</f>
        <v>0.80437349112426026</v>
      </c>
      <c r="R43" s="189">
        <f t="shared" ref="R43" si="30">IFERROR(Q43+T43,0)</f>
        <v>2.0028899928994082</v>
      </c>
      <c r="S43" s="192">
        <v>1.49</v>
      </c>
      <c r="T43" s="191">
        <f>'Custo Produto'!$Q43*'Custo Produto'!$S43</f>
        <v>1.1985165017751478</v>
      </c>
      <c r="U43" s="190">
        <f t="shared" ref="U43" si="31">T43/R43</f>
        <v>0.59839357429718876</v>
      </c>
      <c r="V43" s="189">
        <f t="shared" ref="V43" si="32">T43*K43</f>
        <v>22.505476533333333</v>
      </c>
      <c r="W43" s="72"/>
      <c r="X43" s="73"/>
    </row>
    <row r="44" spans="1:24" s="71" customFormat="1" ht="19.95" customHeight="1" x14ac:dyDescent="0.3">
      <c r="A44" s="66" t="s">
        <v>41</v>
      </c>
      <c r="B44" s="24" t="s">
        <v>125</v>
      </c>
      <c r="C44" s="67" t="s">
        <v>30</v>
      </c>
      <c r="D44" s="68">
        <v>3</v>
      </c>
      <c r="E44" s="69">
        <v>200</v>
      </c>
      <c r="F44" s="69">
        <v>100</v>
      </c>
      <c r="G44" s="68">
        <f t="shared" si="26"/>
        <v>1.4999999999999999E-2</v>
      </c>
      <c r="H44" s="68">
        <f t="shared" si="27"/>
        <v>1.5</v>
      </c>
      <c r="I44" s="181"/>
      <c r="J44" s="200"/>
      <c r="K44" s="188"/>
      <c r="L44" s="181"/>
      <c r="M44" s="181"/>
      <c r="N44" s="181"/>
      <c r="O44" s="182"/>
      <c r="P44" s="183"/>
      <c r="Q44" s="181"/>
      <c r="R44" s="189"/>
      <c r="S44" s="192"/>
      <c r="T44" s="191"/>
      <c r="U44" s="190"/>
      <c r="V44" s="189"/>
      <c r="W44" s="72"/>
      <c r="X44" s="73"/>
    </row>
    <row r="45" spans="1:24" s="71" customFormat="1" ht="19.95" customHeight="1" x14ac:dyDescent="0.3">
      <c r="A45" s="66" t="s">
        <v>41</v>
      </c>
      <c r="B45" s="24" t="s">
        <v>125</v>
      </c>
      <c r="C45" s="67" t="s">
        <v>151</v>
      </c>
      <c r="D45" s="68">
        <v>19.59</v>
      </c>
      <c r="E45" s="69">
        <v>500</v>
      </c>
      <c r="F45" s="69">
        <v>76</v>
      </c>
      <c r="G45" s="68">
        <f t="shared" ref="G45" si="33">IFERROR(D45/E45,0)</f>
        <v>3.918E-2</v>
      </c>
      <c r="H45" s="68">
        <f t="shared" ref="H45" si="34">G45*F45</f>
        <v>2.9776799999999999</v>
      </c>
      <c r="I45" s="181"/>
      <c r="J45" s="200"/>
      <c r="K45" s="188"/>
      <c r="L45" s="181"/>
      <c r="M45" s="181"/>
      <c r="N45" s="181"/>
      <c r="O45" s="182"/>
      <c r="P45" s="183"/>
      <c r="Q45" s="181"/>
      <c r="R45" s="189"/>
      <c r="S45" s="192"/>
      <c r="T45" s="191"/>
      <c r="U45" s="190"/>
      <c r="V45" s="189"/>
      <c r="W45" s="72"/>
      <c r="X45" s="73"/>
    </row>
    <row r="46" spans="1:24" s="71" customFormat="1" ht="19.95" customHeight="1" x14ac:dyDescent="0.3">
      <c r="A46" s="66" t="s">
        <v>41</v>
      </c>
      <c r="B46" s="24" t="s">
        <v>125</v>
      </c>
      <c r="C46" s="67" t="s">
        <v>33</v>
      </c>
      <c r="D46" s="68">
        <v>8</v>
      </c>
      <c r="E46" s="69">
        <v>400</v>
      </c>
      <c r="F46" s="69">
        <v>50</v>
      </c>
      <c r="G46" s="68">
        <f t="shared" si="26"/>
        <v>0.02</v>
      </c>
      <c r="H46" s="68">
        <f t="shared" si="27"/>
        <v>1</v>
      </c>
      <c r="I46" s="181"/>
      <c r="J46" s="201"/>
      <c r="K46" s="188"/>
      <c r="L46" s="181"/>
      <c r="M46" s="181"/>
      <c r="N46" s="181"/>
      <c r="O46" s="182"/>
      <c r="P46" s="183"/>
      <c r="Q46" s="181"/>
      <c r="R46" s="189"/>
      <c r="S46" s="192"/>
      <c r="T46" s="191"/>
      <c r="U46" s="190"/>
      <c r="V46" s="189"/>
      <c r="W46" s="72"/>
      <c r="X46" s="73"/>
    </row>
    <row r="47" spans="1:24" s="71" customFormat="1" ht="19.95" customHeight="1" x14ac:dyDescent="0.3">
      <c r="A47" s="66" t="s">
        <v>41</v>
      </c>
      <c r="B47" s="24" t="s">
        <v>126</v>
      </c>
      <c r="C47" s="67" t="s">
        <v>20</v>
      </c>
      <c r="D47" s="68">
        <v>6</v>
      </c>
      <c r="E47" s="69">
        <v>395</v>
      </c>
      <c r="F47" s="69">
        <v>395</v>
      </c>
      <c r="G47" s="68">
        <f t="shared" si="26"/>
        <v>1.5189873417721518E-2</v>
      </c>
      <c r="H47" s="68">
        <f t="shared" si="27"/>
        <v>6</v>
      </c>
      <c r="I47" s="181">
        <f t="shared" ref="I47" si="35">SUM(H47:H50)</f>
        <v>11.404999999999999</v>
      </c>
      <c r="J47" s="199">
        <v>338</v>
      </c>
      <c r="K47" s="188">
        <f t="shared" ref="K47" si="36">J47/18</f>
        <v>18.777777777777779</v>
      </c>
      <c r="L47" s="181">
        <v>1</v>
      </c>
      <c r="M47" s="181">
        <f t="shared" ref="M47" si="37">K47*0.06</f>
        <v>1.1266666666666667</v>
      </c>
      <c r="N47" s="181">
        <v>1</v>
      </c>
      <c r="O47" s="182">
        <v>0</v>
      </c>
      <c r="P47" s="183">
        <f t="shared" ref="P47" si="38">(I47+L47+M47+N47)*(1+O47)+(0.5)</f>
        <v>15.031666666666666</v>
      </c>
      <c r="Q47" s="181">
        <f t="shared" ref="Q47" si="39">IFERROR(P47/K47,0)</f>
        <v>0.80050295857988163</v>
      </c>
      <c r="R47" s="189">
        <f t="shared" ref="R47" si="40">IFERROR(Q47+T47,0)</f>
        <v>2.001257396449704</v>
      </c>
      <c r="S47" s="192">
        <v>1.5</v>
      </c>
      <c r="T47" s="191">
        <f>'Custo Produto'!$Q47*'Custo Produto'!$S47</f>
        <v>1.2007544378698225</v>
      </c>
      <c r="U47" s="190">
        <f t="shared" ref="U47" si="41">T47/R47</f>
        <v>0.60000000000000009</v>
      </c>
      <c r="V47" s="189">
        <f t="shared" ref="V47" si="42">T47*K47</f>
        <v>22.547500000000003</v>
      </c>
      <c r="W47" s="72"/>
      <c r="X47" s="73"/>
    </row>
    <row r="48" spans="1:24" s="71" customFormat="1" ht="19.95" customHeight="1" x14ac:dyDescent="0.3">
      <c r="A48" s="66" t="s">
        <v>41</v>
      </c>
      <c r="B48" s="24" t="s">
        <v>126</v>
      </c>
      <c r="C48" s="67" t="s">
        <v>30</v>
      </c>
      <c r="D48" s="68">
        <v>3</v>
      </c>
      <c r="E48" s="69">
        <v>200</v>
      </c>
      <c r="F48" s="69">
        <v>100</v>
      </c>
      <c r="G48" s="68">
        <f t="shared" si="26"/>
        <v>1.4999999999999999E-2</v>
      </c>
      <c r="H48" s="68">
        <f t="shared" si="27"/>
        <v>1.5</v>
      </c>
      <c r="I48" s="181"/>
      <c r="J48" s="200"/>
      <c r="K48" s="188"/>
      <c r="L48" s="181"/>
      <c r="M48" s="181"/>
      <c r="N48" s="181"/>
      <c r="O48" s="182"/>
      <c r="P48" s="183"/>
      <c r="Q48" s="181"/>
      <c r="R48" s="189"/>
      <c r="S48" s="192"/>
      <c r="T48" s="191"/>
      <c r="U48" s="190"/>
      <c r="V48" s="189"/>
      <c r="W48" s="72"/>
      <c r="X48" s="73"/>
    </row>
    <row r="49" spans="1:24" s="71" customFormat="1" ht="19.95" customHeight="1" x14ac:dyDescent="0.3">
      <c r="A49" s="66" t="s">
        <v>41</v>
      </c>
      <c r="B49" s="24" t="s">
        <v>126</v>
      </c>
      <c r="C49" s="67" t="s">
        <v>139</v>
      </c>
      <c r="D49" s="68">
        <v>23.89</v>
      </c>
      <c r="E49" s="69">
        <v>200</v>
      </c>
      <c r="F49" s="69">
        <v>20</v>
      </c>
      <c r="G49" s="68">
        <f t="shared" si="26"/>
        <v>0.11945</v>
      </c>
      <c r="H49" s="68">
        <f t="shared" si="27"/>
        <v>2.3890000000000002</v>
      </c>
      <c r="I49" s="181"/>
      <c r="J49" s="200"/>
      <c r="K49" s="188"/>
      <c r="L49" s="181"/>
      <c r="M49" s="181"/>
      <c r="N49" s="181"/>
      <c r="O49" s="182"/>
      <c r="P49" s="183"/>
      <c r="Q49" s="181"/>
      <c r="R49" s="189"/>
      <c r="S49" s="192"/>
      <c r="T49" s="191"/>
      <c r="U49" s="190"/>
      <c r="V49" s="189"/>
      <c r="W49" s="72"/>
      <c r="X49" s="73"/>
    </row>
    <row r="50" spans="1:24" s="71" customFormat="1" ht="19.95" customHeight="1" x14ac:dyDescent="0.3">
      <c r="A50" s="66" t="s">
        <v>41</v>
      </c>
      <c r="B50" s="24" t="s">
        <v>126</v>
      </c>
      <c r="C50" s="67" t="s">
        <v>140</v>
      </c>
      <c r="D50" s="68">
        <v>18.95</v>
      </c>
      <c r="E50" s="69">
        <v>1000</v>
      </c>
      <c r="F50" s="69">
        <v>80</v>
      </c>
      <c r="G50" s="68">
        <f t="shared" si="26"/>
        <v>1.8949999999999998E-2</v>
      </c>
      <c r="H50" s="68">
        <f t="shared" si="27"/>
        <v>1.5159999999999998</v>
      </c>
      <c r="I50" s="181"/>
      <c r="J50" s="201"/>
      <c r="K50" s="188"/>
      <c r="L50" s="181"/>
      <c r="M50" s="181"/>
      <c r="N50" s="181"/>
      <c r="O50" s="182"/>
      <c r="P50" s="183"/>
      <c r="Q50" s="181"/>
      <c r="R50" s="189"/>
      <c r="S50" s="192"/>
      <c r="T50" s="191"/>
      <c r="U50" s="190"/>
      <c r="V50" s="189"/>
      <c r="W50" s="72"/>
      <c r="X50" s="73"/>
    </row>
    <row r="51" spans="1:24" s="71" customFormat="1" ht="19.95" customHeight="1" x14ac:dyDescent="0.3">
      <c r="A51" s="66" t="s">
        <v>41</v>
      </c>
      <c r="B51" s="24" t="s">
        <v>127</v>
      </c>
      <c r="C51" s="67" t="s">
        <v>20</v>
      </c>
      <c r="D51" s="68">
        <v>6</v>
      </c>
      <c r="E51" s="69">
        <v>395</v>
      </c>
      <c r="F51" s="69">
        <v>395</v>
      </c>
      <c r="G51" s="68">
        <f t="shared" ref="G51:G55" si="43">IFERROR(D51/E51,0)</f>
        <v>1.5189873417721518E-2</v>
      </c>
      <c r="H51" s="68">
        <f t="shared" ref="H51:H55" si="44">G51*F51</f>
        <v>6</v>
      </c>
      <c r="I51" s="181">
        <f t="shared" ref="I51" si="45">SUM(H51:H55)</f>
        <v>11.547972972972973</v>
      </c>
      <c r="J51" s="199">
        <v>338</v>
      </c>
      <c r="K51" s="188">
        <f t="shared" ref="K51" si="46">J51/18</f>
        <v>18.777777777777779</v>
      </c>
      <c r="L51" s="181">
        <v>0</v>
      </c>
      <c r="M51" s="181">
        <f t="shared" ref="M51" si="47">K51*0.06</f>
        <v>1.1266666666666667</v>
      </c>
      <c r="N51" s="181">
        <v>1</v>
      </c>
      <c r="O51" s="182">
        <v>0</v>
      </c>
      <c r="P51" s="183">
        <f t="shared" ref="P51" si="48">(I51+L51+M51+N51)*(1+O51)+(0.5)</f>
        <v>14.17463963963964</v>
      </c>
      <c r="Q51" s="181">
        <f t="shared" ref="Q51" si="49">IFERROR(P51/K51,0)</f>
        <v>0.75486246601631213</v>
      </c>
      <c r="R51" s="189">
        <f t="shared" ref="R51" si="50">IFERROR(Q51+T51,0)</f>
        <v>2.0003855349432271</v>
      </c>
      <c r="S51" s="192">
        <v>1.65</v>
      </c>
      <c r="T51" s="191">
        <f>'Custo Produto'!$Q51*'Custo Produto'!$S51</f>
        <v>1.245523068926915</v>
      </c>
      <c r="U51" s="190">
        <f t="shared" ref="U51" si="51">T51/R51</f>
        <v>0.62264150943396224</v>
      </c>
      <c r="V51" s="189">
        <f t="shared" ref="V51" si="52">T51*K51</f>
        <v>23.388155405405406</v>
      </c>
      <c r="W51" s="72"/>
      <c r="X51" s="73"/>
    </row>
    <row r="52" spans="1:24" s="71" customFormat="1" ht="19.95" customHeight="1" x14ac:dyDescent="0.3">
      <c r="A52" s="66" t="s">
        <v>41</v>
      </c>
      <c r="B52" s="24" t="s">
        <v>127</v>
      </c>
      <c r="C52" s="67" t="s">
        <v>30</v>
      </c>
      <c r="D52" s="68">
        <v>3</v>
      </c>
      <c r="E52" s="69">
        <v>200</v>
      </c>
      <c r="F52" s="69">
        <v>100</v>
      </c>
      <c r="G52" s="68">
        <f t="shared" si="43"/>
        <v>1.4999999999999999E-2</v>
      </c>
      <c r="H52" s="68">
        <f t="shared" si="44"/>
        <v>1.5</v>
      </c>
      <c r="I52" s="181"/>
      <c r="J52" s="200"/>
      <c r="K52" s="188"/>
      <c r="L52" s="181"/>
      <c r="M52" s="181"/>
      <c r="N52" s="181"/>
      <c r="O52" s="182"/>
      <c r="P52" s="183"/>
      <c r="Q52" s="181"/>
      <c r="R52" s="189"/>
      <c r="S52" s="192"/>
      <c r="T52" s="191"/>
      <c r="U52" s="190"/>
      <c r="V52" s="189"/>
      <c r="W52" s="72"/>
      <c r="X52" s="73"/>
    </row>
    <row r="53" spans="1:24" s="71" customFormat="1" ht="19.95" customHeight="1" x14ac:dyDescent="0.3">
      <c r="A53" s="66" t="s">
        <v>41</v>
      </c>
      <c r="B53" s="24" t="s">
        <v>127</v>
      </c>
      <c r="C53" s="67" t="s">
        <v>33</v>
      </c>
      <c r="D53" s="68">
        <v>8</v>
      </c>
      <c r="E53" s="69">
        <v>400</v>
      </c>
      <c r="F53" s="69">
        <v>50</v>
      </c>
      <c r="G53" s="68">
        <f t="shared" si="43"/>
        <v>0.02</v>
      </c>
      <c r="H53" s="68">
        <f t="shared" si="44"/>
        <v>1</v>
      </c>
      <c r="I53" s="181"/>
      <c r="J53" s="200"/>
      <c r="K53" s="188"/>
      <c r="L53" s="181"/>
      <c r="M53" s="181"/>
      <c r="N53" s="181"/>
      <c r="O53" s="182"/>
      <c r="P53" s="183"/>
      <c r="Q53" s="181"/>
      <c r="R53" s="189"/>
      <c r="S53" s="192"/>
      <c r="T53" s="191"/>
      <c r="U53" s="190"/>
      <c r="V53" s="189"/>
      <c r="W53" s="72"/>
      <c r="X53" s="73"/>
    </row>
    <row r="54" spans="1:24" s="71" customFormat="1" ht="19.95" customHeight="1" x14ac:dyDescent="0.3">
      <c r="A54" s="66" t="s">
        <v>41</v>
      </c>
      <c r="B54" s="24" t="s">
        <v>127</v>
      </c>
      <c r="C54" s="67" t="s">
        <v>154</v>
      </c>
      <c r="D54" s="68">
        <v>38</v>
      </c>
      <c r="E54" s="69">
        <v>1000</v>
      </c>
      <c r="F54" s="69">
        <v>76</v>
      </c>
      <c r="G54" s="68">
        <f t="shared" ref="G54" si="53">IFERROR(D54/E54,0)</f>
        <v>3.7999999999999999E-2</v>
      </c>
      <c r="H54" s="68">
        <f t="shared" ref="H54" si="54">G54*F54</f>
        <v>2.8879999999999999</v>
      </c>
      <c r="I54" s="181"/>
      <c r="J54" s="200"/>
      <c r="K54" s="188"/>
      <c r="L54" s="181"/>
      <c r="M54" s="181"/>
      <c r="N54" s="181"/>
      <c r="O54" s="182"/>
      <c r="P54" s="183"/>
      <c r="Q54" s="181"/>
      <c r="R54" s="189"/>
      <c r="S54" s="192"/>
      <c r="T54" s="191"/>
      <c r="U54" s="190"/>
      <c r="V54" s="189"/>
      <c r="W54" s="72"/>
      <c r="X54" s="73"/>
    </row>
    <row r="55" spans="1:24" s="71" customFormat="1" ht="19.95" customHeight="1" x14ac:dyDescent="0.3">
      <c r="A55" s="66" t="s">
        <v>41</v>
      </c>
      <c r="B55" s="24" t="s">
        <v>127</v>
      </c>
      <c r="C55" s="67" t="s">
        <v>146</v>
      </c>
      <c r="D55" s="68">
        <v>19.73</v>
      </c>
      <c r="E55" s="69">
        <v>370</v>
      </c>
      <c r="F55" s="69">
        <v>3</v>
      </c>
      <c r="G55" s="68">
        <f t="shared" si="43"/>
        <v>5.3324324324324324E-2</v>
      </c>
      <c r="H55" s="68">
        <f t="shared" si="44"/>
        <v>0.15997297297297297</v>
      </c>
      <c r="I55" s="181"/>
      <c r="J55" s="201"/>
      <c r="K55" s="188"/>
      <c r="L55" s="181"/>
      <c r="M55" s="181"/>
      <c r="N55" s="181"/>
      <c r="O55" s="182"/>
      <c r="P55" s="183"/>
      <c r="Q55" s="181"/>
      <c r="R55" s="189"/>
      <c r="S55" s="192"/>
      <c r="T55" s="191"/>
      <c r="U55" s="190"/>
      <c r="V55" s="189"/>
      <c r="W55" s="72"/>
      <c r="X55" s="73"/>
    </row>
    <row r="56" spans="1:24" s="71" customFormat="1" ht="19.95" customHeight="1" x14ac:dyDescent="0.3">
      <c r="A56" s="66" t="s">
        <v>41</v>
      </c>
      <c r="B56" s="24" t="s">
        <v>128</v>
      </c>
      <c r="C56" s="67" t="s">
        <v>20</v>
      </c>
      <c r="D56" s="68">
        <v>6</v>
      </c>
      <c r="E56" s="69">
        <v>395</v>
      </c>
      <c r="F56" s="69">
        <v>395</v>
      </c>
      <c r="G56" s="68">
        <f t="shared" ref="G56:G63" si="55">IFERROR(D56/E56,0)</f>
        <v>1.5189873417721518E-2</v>
      </c>
      <c r="H56" s="68">
        <f t="shared" ref="H56:H57" si="56">G56*F56</f>
        <v>6</v>
      </c>
      <c r="I56" s="181">
        <f>SUM(H56:H59)</f>
        <v>24.366999999999997</v>
      </c>
      <c r="J56" s="199">
        <v>338</v>
      </c>
      <c r="K56" s="188">
        <f t="shared" ref="K56" si="57">J56/18</f>
        <v>18.777777777777779</v>
      </c>
      <c r="L56" s="181">
        <v>0</v>
      </c>
      <c r="M56" s="181">
        <f t="shared" ref="M56" si="58">K56*0.06</f>
        <v>1.1266666666666667</v>
      </c>
      <c r="N56" s="181">
        <v>1</v>
      </c>
      <c r="O56" s="182">
        <v>0</v>
      </c>
      <c r="P56" s="183">
        <f t="shared" ref="P56" si="59">(I56+L56+M56+N56)*(1+O56)+(0.5)</f>
        <v>26.993666666666662</v>
      </c>
      <c r="Q56" s="181">
        <f t="shared" ref="Q56" si="60">IFERROR(P56/K56,0)</f>
        <v>1.4375325443786979</v>
      </c>
      <c r="R56" s="189">
        <f t="shared" ref="R56" si="61">IFERROR(Q56+T56,0)</f>
        <v>1.99817023668639</v>
      </c>
      <c r="S56" s="192">
        <v>0.39</v>
      </c>
      <c r="T56" s="191">
        <f>'Custo Produto'!$Q56*'Custo Produto'!$S56</f>
        <v>0.56063769230769223</v>
      </c>
      <c r="U56" s="190">
        <f t="shared" ref="U56" si="62">T56/R56</f>
        <v>0.28057553956834536</v>
      </c>
      <c r="V56" s="189">
        <f t="shared" ref="V56" si="63">T56*K56</f>
        <v>10.527529999999999</v>
      </c>
      <c r="W56" s="72"/>
      <c r="X56" s="73"/>
    </row>
    <row r="57" spans="1:24" s="71" customFormat="1" ht="19.95" customHeight="1" x14ac:dyDescent="0.3">
      <c r="A57" s="66" t="s">
        <v>41</v>
      </c>
      <c r="B57" s="24" t="s">
        <v>128</v>
      </c>
      <c r="C57" s="67" t="s">
        <v>30</v>
      </c>
      <c r="D57" s="68">
        <v>3</v>
      </c>
      <c r="E57" s="69">
        <v>200</v>
      </c>
      <c r="F57" s="69">
        <v>100</v>
      </c>
      <c r="G57" s="68">
        <f t="shared" si="55"/>
        <v>1.4999999999999999E-2</v>
      </c>
      <c r="H57" s="68">
        <f t="shared" si="56"/>
        <v>1.5</v>
      </c>
      <c r="I57" s="181"/>
      <c r="J57" s="200"/>
      <c r="K57" s="188"/>
      <c r="L57" s="181"/>
      <c r="M57" s="181"/>
      <c r="N57" s="181"/>
      <c r="O57" s="182"/>
      <c r="P57" s="183"/>
      <c r="Q57" s="181"/>
      <c r="R57" s="189"/>
      <c r="S57" s="192"/>
      <c r="T57" s="191"/>
      <c r="U57" s="190"/>
      <c r="V57" s="189"/>
      <c r="W57" s="72"/>
      <c r="X57" s="73"/>
    </row>
    <row r="58" spans="1:24" s="71" customFormat="1" ht="19.95" customHeight="1" x14ac:dyDescent="0.3">
      <c r="A58" s="66" t="s">
        <v>41</v>
      </c>
      <c r="B58" s="24" t="s">
        <v>128</v>
      </c>
      <c r="C58" s="67" t="s">
        <v>150</v>
      </c>
      <c r="D58" s="68">
        <v>49.3</v>
      </c>
      <c r="E58" s="69">
        <v>400</v>
      </c>
      <c r="F58" s="69">
        <v>76</v>
      </c>
      <c r="G58" s="68">
        <f t="shared" ref="G58" si="64">IFERROR(D58/E58,0)</f>
        <v>0.12325</v>
      </c>
      <c r="H58" s="68">
        <f t="shared" ref="H58" si="65">G58*F58</f>
        <v>9.3669999999999991</v>
      </c>
      <c r="I58" s="181"/>
      <c r="J58" s="200"/>
      <c r="K58" s="188"/>
      <c r="L58" s="181"/>
      <c r="M58" s="181"/>
      <c r="N58" s="181"/>
      <c r="O58" s="182"/>
      <c r="P58" s="183"/>
      <c r="Q58" s="181"/>
      <c r="R58" s="189"/>
      <c r="S58" s="192"/>
      <c r="T58" s="191"/>
      <c r="U58" s="190"/>
      <c r="V58" s="189"/>
      <c r="W58" s="72"/>
      <c r="X58" s="73"/>
    </row>
    <row r="59" spans="1:24" s="71" customFormat="1" ht="19.95" customHeight="1" x14ac:dyDescent="0.3">
      <c r="A59" s="66" t="s">
        <v>41</v>
      </c>
      <c r="B59" s="24" t="s">
        <v>128</v>
      </c>
      <c r="C59" s="67" t="s">
        <v>137</v>
      </c>
      <c r="D59" s="68">
        <v>30</v>
      </c>
      <c r="E59" s="69">
        <v>200</v>
      </c>
      <c r="F59" s="69">
        <v>50</v>
      </c>
      <c r="G59" s="68">
        <f t="shared" si="55"/>
        <v>0.15</v>
      </c>
      <c r="H59" s="68">
        <f>G59*F59</f>
        <v>7.5</v>
      </c>
      <c r="I59" s="181"/>
      <c r="J59" s="201"/>
      <c r="K59" s="188"/>
      <c r="L59" s="181"/>
      <c r="M59" s="181"/>
      <c r="N59" s="181"/>
      <c r="O59" s="182"/>
      <c r="P59" s="183"/>
      <c r="Q59" s="181"/>
      <c r="R59" s="189"/>
      <c r="S59" s="192"/>
      <c r="T59" s="191"/>
      <c r="U59" s="190"/>
      <c r="V59" s="189"/>
      <c r="W59" s="72"/>
      <c r="X59" s="73"/>
    </row>
    <row r="60" spans="1:24" s="71" customFormat="1" ht="19.95" customHeight="1" x14ac:dyDescent="0.3">
      <c r="A60" s="66" t="s">
        <v>41</v>
      </c>
      <c r="B60" s="24" t="s">
        <v>129</v>
      </c>
      <c r="C60" s="67" t="s">
        <v>20</v>
      </c>
      <c r="D60" s="68">
        <v>6</v>
      </c>
      <c r="E60" s="69">
        <v>395</v>
      </c>
      <c r="F60" s="69">
        <v>395</v>
      </c>
      <c r="G60" s="68">
        <f t="shared" si="55"/>
        <v>1.5189873417721518E-2</v>
      </c>
      <c r="H60" s="68">
        <f t="shared" ref="H60:H63" si="66">G60*F60</f>
        <v>6</v>
      </c>
      <c r="I60" s="181">
        <f t="shared" ref="I60" si="67">SUM(H60:H63)</f>
        <v>10.9445</v>
      </c>
      <c r="J60" s="199">
        <v>338</v>
      </c>
      <c r="K60" s="188">
        <f t="shared" ref="K60" si="68">J60/18</f>
        <v>18.777777777777779</v>
      </c>
      <c r="L60" s="181">
        <v>1</v>
      </c>
      <c r="M60" s="181">
        <f t="shared" ref="M60" si="69">K60*0.06</f>
        <v>1.1266666666666667</v>
      </c>
      <c r="N60" s="181">
        <v>1</v>
      </c>
      <c r="O60" s="182">
        <v>0</v>
      </c>
      <c r="P60" s="183">
        <f t="shared" ref="P60" si="70">(I60+L60+M60+N60)*(1+O60)+(0.5)</f>
        <v>14.571166666666667</v>
      </c>
      <c r="Q60" s="181">
        <f t="shared" ref="Q60" si="71">IFERROR(P60/K60,0)</f>
        <v>0.77597928994082832</v>
      </c>
      <c r="R60" s="189">
        <f t="shared" ref="R60" si="72">IFERROR(Q60+T60,0)</f>
        <v>2.002026568047337</v>
      </c>
      <c r="S60" s="192">
        <v>1.58</v>
      </c>
      <c r="T60" s="191">
        <f>'Custo Produto'!$Q60*'Custo Produto'!$S60</f>
        <v>1.2260472781065088</v>
      </c>
      <c r="U60" s="190">
        <f t="shared" ref="U60" si="73">T60/R60</f>
        <v>0.61240310077519389</v>
      </c>
      <c r="V60" s="189">
        <f t="shared" ref="V60" si="74">T60*K60</f>
        <v>23.022443333333332</v>
      </c>
      <c r="W60" s="72"/>
      <c r="X60" s="73"/>
    </row>
    <row r="61" spans="1:24" s="71" customFormat="1" ht="19.95" customHeight="1" x14ac:dyDescent="0.3">
      <c r="A61" s="66" t="s">
        <v>41</v>
      </c>
      <c r="B61" s="24" t="s">
        <v>129</v>
      </c>
      <c r="C61" s="67" t="s">
        <v>30</v>
      </c>
      <c r="D61" s="68">
        <v>3</v>
      </c>
      <c r="E61" s="69">
        <v>200</v>
      </c>
      <c r="F61" s="69">
        <v>100</v>
      </c>
      <c r="G61" s="68">
        <f t="shared" si="55"/>
        <v>1.4999999999999999E-2</v>
      </c>
      <c r="H61" s="68">
        <f t="shared" si="66"/>
        <v>1.5</v>
      </c>
      <c r="I61" s="181"/>
      <c r="J61" s="200"/>
      <c r="K61" s="188"/>
      <c r="L61" s="181"/>
      <c r="M61" s="181"/>
      <c r="N61" s="181"/>
      <c r="O61" s="182"/>
      <c r="P61" s="183"/>
      <c r="Q61" s="181"/>
      <c r="R61" s="189"/>
      <c r="S61" s="192"/>
      <c r="T61" s="191"/>
      <c r="U61" s="190"/>
      <c r="V61" s="189"/>
      <c r="W61" s="72"/>
      <c r="X61" s="73"/>
    </row>
    <row r="62" spans="1:24" s="71" customFormat="1" ht="19.95" customHeight="1" x14ac:dyDescent="0.3">
      <c r="A62" s="66" t="s">
        <v>41</v>
      </c>
      <c r="B62" s="24" t="s">
        <v>129</v>
      </c>
      <c r="C62" s="67" t="s">
        <v>139</v>
      </c>
      <c r="D62" s="68">
        <v>23.89</v>
      </c>
      <c r="E62" s="69">
        <v>200</v>
      </c>
      <c r="F62" s="69">
        <v>10</v>
      </c>
      <c r="G62" s="68">
        <f t="shared" si="55"/>
        <v>0.11945</v>
      </c>
      <c r="H62" s="68">
        <f t="shared" si="66"/>
        <v>1.1945000000000001</v>
      </c>
      <c r="I62" s="181"/>
      <c r="J62" s="200"/>
      <c r="K62" s="188"/>
      <c r="L62" s="181"/>
      <c r="M62" s="181"/>
      <c r="N62" s="181"/>
      <c r="O62" s="182"/>
      <c r="P62" s="183"/>
      <c r="Q62" s="181"/>
      <c r="R62" s="189"/>
      <c r="S62" s="192"/>
      <c r="T62" s="191"/>
      <c r="U62" s="190"/>
      <c r="V62" s="189"/>
      <c r="W62" s="72"/>
      <c r="X62" s="73"/>
    </row>
    <row r="63" spans="1:24" s="71" customFormat="1" ht="19.95" customHeight="1" x14ac:dyDescent="0.3">
      <c r="A63" s="66" t="s">
        <v>41</v>
      </c>
      <c r="B63" s="24" t="s">
        <v>129</v>
      </c>
      <c r="C63" s="67" t="s">
        <v>138</v>
      </c>
      <c r="D63" s="68">
        <v>18</v>
      </c>
      <c r="E63" s="69">
        <v>160</v>
      </c>
      <c r="F63" s="69">
        <v>20</v>
      </c>
      <c r="G63" s="68">
        <f t="shared" si="55"/>
        <v>0.1125</v>
      </c>
      <c r="H63" s="68">
        <f t="shared" si="66"/>
        <v>2.25</v>
      </c>
      <c r="I63" s="181"/>
      <c r="J63" s="201"/>
      <c r="K63" s="188"/>
      <c r="L63" s="181"/>
      <c r="M63" s="181"/>
      <c r="N63" s="181"/>
      <c r="O63" s="182"/>
      <c r="P63" s="183"/>
      <c r="Q63" s="181"/>
      <c r="R63" s="189"/>
      <c r="S63" s="192"/>
      <c r="T63" s="191"/>
      <c r="U63" s="190"/>
      <c r="V63" s="189"/>
      <c r="W63" s="72"/>
      <c r="X63" s="73"/>
    </row>
    <row r="64" spans="1:24" s="71" customFormat="1" ht="19.95" customHeight="1" x14ac:dyDescent="0.3">
      <c r="A64" s="66" t="s">
        <v>41</v>
      </c>
      <c r="B64" s="24" t="s">
        <v>130</v>
      </c>
      <c r="C64" s="67" t="s">
        <v>20</v>
      </c>
      <c r="D64" s="68">
        <v>6</v>
      </c>
      <c r="E64" s="69">
        <v>395</v>
      </c>
      <c r="F64" s="69">
        <v>395</v>
      </c>
      <c r="G64" s="68">
        <f>IFERROR(D64/E64,0)</f>
        <v>1.5189873417721518E-2</v>
      </c>
      <c r="H64" s="68">
        <f t="shared" ref="H64:H76" si="75">G64*F64</f>
        <v>6</v>
      </c>
      <c r="I64" s="181">
        <f t="shared" ref="I64" si="76">SUM(H64:H67)</f>
        <v>11.9998</v>
      </c>
      <c r="J64" s="199">
        <v>338</v>
      </c>
      <c r="K64" s="188">
        <f t="shared" ref="K64" si="77">J64/18</f>
        <v>18.777777777777779</v>
      </c>
      <c r="L64" s="181">
        <v>0</v>
      </c>
      <c r="M64" s="181">
        <f t="shared" ref="M64" si="78">K64*0.06</f>
        <v>1.1266666666666667</v>
      </c>
      <c r="N64" s="181">
        <v>1</v>
      </c>
      <c r="O64" s="182">
        <v>0</v>
      </c>
      <c r="P64" s="183">
        <f t="shared" ref="P64" si="79">(I64+L64+M64+N64)*(1+O64)+(0.5)</f>
        <v>14.626466666666667</v>
      </c>
      <c r="Q64" s="181">
        <f t="shared" ref="Q64" si="80">IFERROR(P64/K64,0)</f>
        <v>0.7789242603550296</v>
      </c>
      <c r="R64" s="189">
        <f t="shared" ref="R64" si="81">IFERROR(Q64+T64,0)</f>
        <v>2.0018353491124263</v>
      </c>
      <c r="S64" s="192">
        <v>1.57</v>
      </c>
      <c r="T64" s="191">
        <f>'Custo Produto'!$Q64*'Custo Produto'!$S64</f>
        <v>1.2229110887573966</v>
      </c>
      <c r="U64" s="190">
        <f t="shared" ref="U64" si="82">T64/R64</f>
        <v>0.6108949416342413</v>
      </c>
      <c r="V64" s="189">
        <f t="shared" ref="V64" si="83">T64*K64</f>
        <v>22.963552666666672</v>
      </c>
      <c r="W64" s="72"/>
      <c r="X64" s="73"/>
    </row>
    <row r="65" spans="1:24" s="71" customFormat="1" ht="19.95" customHeight="1" x14ac:dyDescent="0.3">
      <c r="A65" s="66" t="s">
        <v>41</v>
      </c>
      <c r="B65" s="24" t="s">
        <v>130</v>
      </c>
      <c r="C65" s="67" t="s">
        <v>30</v>
      </c>
      <c r="D65" s="68">
        <v>3</v>
      </c>
      <c r="E65" s="69">
        <v>200</v>
      </c>
      <c r="F65" s="69">
        <v>100</v>
      </c>
      <c r="G65" s="68">
        <f t="shared" ref="G65:G76" si="84">IFERROR(D65/E65,0)</f>
        <v>1.4999999999999999E-2</v>
      </c>
      <c r="H65" s="68">
        <f t="shared" si="75"/>
        <v>1.5</v>
      </c>
      <c r="I65" s="181"/>
      <c r="J65" s="200"/>
      <c r="K65" s="188"/>
      <c r="L65" s="181"/>
      <c r="M65" s="181"/>
      <c r="N65" s="181"/>
      <c r="O65" s="182"/>
      <c r="P65" s="183"/>
      <c r="Q65" s="181"/>
      <c r="R65" s="189"/>
      <c r="S65" s="192"/>
      <c r="T65" s="191"/>
      <c r="U65" s="190"/>
      <c r="V65" s="189"/>
      <c r="W65" s="72"/>
      <c r="X65" s="73"/>
    </row>
    <row r="66" spans="1:24" s="71" customFormat="1" ht="19.95" customHeight="1" x14ac:dyDescent="0.3">
      <c r="A66" s="66" t="s">
        <v>41</v>
      </c>
      <c r="B66" s="24" t="s">
        <v>130</v>
      </c>
      <c r="C66" s="67" t="s">
        <v>153</v>
      </c>
      <c r="D66" s="68">
        <v>18.420000000000002</v>
      </c>
      <c r="E66" s="69">
        <v>500</v>
      </c>
      <c r="F66" s="69">
        <v>95</v>
      </c>
      <c r="G66" s="68">
        <f t="shared" ref="G66" si="85">IFERROR(D66/E66,0)</f>
        <v>3.6840000000000005E-2</v>
      </c>
      <c r="H66" s="68">
        <f t="shared" ref="H66" si="86">G66*F66</f>
        <v>3.4998000000000005</v>
      </c>
      <c r="I66" s="181"/>
      <c r="J66" s="200"/>
      <c r="K66" s="188"/>
      <c r="L66" s="181"/>
      <c r="M66" s="181"/>
      <c r="N66" s="181"/>
      <c r="O66" s="182"/>
      <c r="P66" s="183"/>
      <c r="Q66" s="181"/>
      <c r="R66" s="189"/>
      <c r="S66" s="192"/>
      <c r="T66" s="191"/>
      <c r="U66" s="190"/>
      <c r="V66" s="189"/>
      <c r="W66" s="72"/>
      <c r="X66" s="73"/>
    </row>
    <row r="67" spans="1:24" s="71" customFormat="1" ht="19.95" customHeight="1" x14ac:dyDescent="0.3">
      <c r="A67" s="66" t="s">
        <v>41</v>
      </c>
      <c r="B67" s="24" t="s">
        <v>130</v>
      </c>
      <c r="C67" s="67" t="s">
        <v>33</v>
      </c>
      <c r="D67" s="68">
        <v>8</v>
      </c>
      <c r="E67" s="69">
        <v>400</v>
      </c>
      <c r="F67" s="69">
        <v>50</v>
      </c>
      <c r="G67" s="68">
        <f t="shared" si="84"/>
        <v>0.02</v>
      </c>
      <c r="H67" s="68">
        <f t="shared" si="75"/>
        <v>1</v>
      </c>
      <c r="I67" s="181"/>
      <c r="J67" s="201"/>
      <c r="K67" s="188"/>
      <c r="L67" s="181"/>
      <c r="M67" s="181"/>
      <c r="N67" s="181"/>
      <c r="O67" s="182"/>
      <c r="P67" s="183"/>
      <c r="Q67" s="181"/>
      <c r="R67" s="189"/>
      <c r="S67" s="192"/>
      <c r="T67" s="191"/>
      <c r="U67" s="190"/>
      <c r="V67" s="189"/>
      <c r="W67" s="72"/>
      <c r="X67" s="73"/>
    </row>
    <row r="68" spans="1:24" s="10" customFormat="1" ht="19.95" customHeight="1" x14ac:dyDescent="0.3">
      <c r="A68" s="24" t="s">
        <v>41</v>
      </c>
      <c r="B68" s="24" t="s">
        <v>131</v>
      </c>
      <c r="C68" s="78" t="s">
        <v>20</v>
      </c>
      <c r="D68" s="6">
        <v>6</v>
      </c>
      <c r="E68" s="7">
        <v>395</v>
      </c>
      <c r="F68" s="7">
        <v>395</v>
      </c>
      <c r="G68" s="6">
        <f t="shared" si="84"/>
        <v>1.5189873417721518E-2</v>
      </c>
      <c r="H68" s="6">
        <f t="shared" si="75"/>
        <v>6</v>
      </c>
      <c r="I68" s="207">
        <f>SUM(H68:H70)</f>
        <v>8.5</v>
      </c>
      <c r="J68" s="210">
        <v>338</v>
      </c>
      <c r="K68" s="188">
        <f t="shared" ref="K68:K74" si="87">J68/18</f>
        <v>18.777777777777779</v>
      </c>
      <c r="L68" s="205">
        <v>1</v>
      </c>
      <c r="M68" s="207">
        <f>K68*0.06</f>
        <v>1.1266666666666667</v>
      </c>
      <c r="N68" s="205">
        <v>1</v>
      </c>
      <c r="O68" s="206">
        <v>0</v>
      </c>
      <c r="P68" s="183">
        <f t="shared" ref="P68" si="88">(I68+L68+M68+N68)*(1+O68)+(0.5)</f>
        <v>12.126666666666667</v>
      </c>
      <c r="Q68" s="207">
        <f>IFERROR((P68+P71+P74)/(K68+K71+K74),0)</f>
        <v>0.6638235294117647</v>
      </c>
      <c r="R68" s="178">
        <f t="shared" ref="R68" si="89">IFERROR(Q68+T68,0)</f>
        <v>1.9981088235294115</v>
      </c>
      <c r="S68" s="214">
        <v>2.0099999999999998</v>
      </c>
      <c r="T68" s="217">
        <f>'Custo Produto'!$Q68*'Custo Produto'!$S68</f>
        <v>1.3342852941176468</v>
      </c>
      <c r="U68" s="220">
        <f t="shared" ref="U68" si="90">T68/R68</f>
        <v>0.66777408637873747</v>
      </c>
      <c r="V68" s="178">
        <f>T68*(K68+K71)</f>
        <v>50.554587254901946</v>
      </c>
      <c r="W68" s="13"/>
      <c r="X68" s="79"/>
    </row>
    <row r="69" spans="1:24" s="10" customFormat="1" ht="19.95" customHeight="1" x14ac:dyDescent="0.3">
      <c r="A69" s="24" t="s">
        <v>41</v>
      </c>
      <c r="B69" s="24" t="s">
        <v>131</v>
      </c>
      <c r="C69" s="78" t="s">
        <v>30</v>
      </c>
      <c r="D69" s="6">
        <v>3</v>
      </c>
      <c r="E69" s="7">
        <v>200</v>
      </c>
      <c r="F69" s="7">
        <v>100</v>
      </c>
      <c r="G69" s="6">
        <f t="shared" si="84"/>
        <v>1.4999999999999999E-2</v>
      </c>
      <c r="H69" s="6">
        <f t="shared" si="75"/>
        <v>1.5</v>
      </c>
      <c r="I69" s="208"/>
      <c r="J69" s="211"/>
      <c r="K69" s="188"/>
      <c r="L69" s="205"/>
      <c r="M69" s="208"/>
      <c r="N69" s="205"/>
      <c r="O69" s="206"/>
      <c r="P69" s="183"/>
      <c r="Q69" s="208"/>
      <c r="R69" s="179"/>
      <c r="S69" s="215"/>
      <c r="T69" s="218"/>
      <c r="U69" s="221"/>
      <c r="V69" s="179"/>
      <c r="W69" s="13"/>
      <c r="X69" s="79"/>
    </row>
    <row r="70" spans="1:24" s="10" customFormat="1" ht="19.95" customHeight="1" x14ac:dyDescent="0.3">
      <c r="A70" s="24" t="s">
        <v>41</v>
      </c>
      <c r="B70" s="24" t="s">
        <v>131</v>
      </c>
      <c r="C70" s="78" t="s">
        <v>33</v>
      </c>
      <c r="D70" s="6">
        <v>8</v>
      </c>
      <c r="E70" s="7">
        <v>400</v>
      </c>
      <c r="F70" s="7">
        <v>50</v>
      </c>
      <c r="G70" s="6">
        <f t="shared" si="84"/>
        <v>0.02</v>
      </c>
      <c r="H70" s="6">
        <f t="shared" si="75"/>
        <v>1</v>
      </c>
      <c r="I70" s="209"/>
      <c r="J70" s="212"/>
      <c r="K70" s="188"/>
      <c r="L70" s="205"/>
      <c r="M70" s="208"/>
      <c r="N70" s="205"/>
      <c r="O70" s="206"/>
      <c r="P70" s="183"/>
      <c r="Q70" s="208"/>
      <c r="R70" s="179"/>
      <c r="S70" s="215"/>
      <c r="T70" s="218"/>
      <c r="U70" s="221"/>
      <c r="V70" s="179"/>
      <c r="W70" s="13"/>
      <c r="X70" s="79"/>
    </row>
    <row r="71" spans="1:24" s="10" customFormat="1" ht="19.95" customHeight="1" x14ac:dyDescent="0.3">
      <c r="A71" s="24" t="s">
        <v>41</v>
      </c>
      <c r="B71" s="24" t="s">
        <v>131</v>
      </c>
      <c r="C71" s="78" t="s">
        <v>20</v>
      </c>
      <c r="D71" s="6">
        <v>6</v>
      </c>
      <c r="E71" s="7">
        <v>395</v>
      </c>
      <c r="F71" s="7">
        <v>395</v>
      </c>
      <c r="G71" s="6">
        <f t="shared" si="84"/>
        <v>1.5189873417721518E-2</v>
      </c>
      <c r="H71" s="6">
        <f t="shared" si="75"/>
        <v>6</v>
      </c>
      <c r="I71" s="205">
        <f>SUM(H71:H73)</f>
        <v>10.49</v>
      </c>
      <c r="J71" s="213">
        <v>344</v>
      </c>
      <c r="K71" s="188">
        <f t="shared" si="87"/>
        <v>19.111111111111111</v>
      </c>
      <c r="L71" s="205">
        <v>1</v>
      </c>
      <c r="M71" s="208"/>
      <c r="N71" s="205">
        <v>1</v>
      </c>
      <c r="O71" s="206">
        <v>0</v>
      </c>
      <c r="P71" s="183">
        <f t="shared" ref="P71" si="91">(I71+L71+M71+N71)*(1+O71)+(0.5)</f>
        <v>12.99</v>
      </c>
      <c r="Q71" s="208"/>
      <c r="R71" s="179"/>
      <c r="S71" s="215"/>
      <c r="T71" s="218"/>
      <c r="U71" s="221"/>
      <c r="V71" s="179"/>
      <c r="W71" s="13"/>
      <c r="X71" s="79"/>
    </row>
    <row r="72" spans="1:24" s="10" customFormat="1" ht="19.95" customHeight="1" x14ac:dyDescent="0.3">
      <c r="A72" s="24" t="s">
        <v>41</v>
      </c>
      <c r="B72" s="24" t="s">
        <v>131</v>
      </c>
      <c r="C72" s="78" t="s">
        <v>30</v>
      </c>
      <c r="D72" s="6">
        <v>3</v>
      </c>
      <c r="E72" s="7">
        <v>200</v>
      </c>
      <c r="F72" s="7">
        <v>100</v>
      </c>
      <c r="G72" s="6">
        <f t="shared" si="84"/>
        <v>1.4999999999999999E-2</v>
      </c>
      <c r="H72" s="6">
        <f t="shared" si="75"/>
        <v>1.5</v>
      </c>
      <c r="I72" s="205"/>
      <c r="J72" s="213"/>
      <c r="K72" s="188"/>
      <c r="L72" s="205"/>
      <c r="M72" s="208"/>
      <c r="N72" s="205"/>
      <c r="O72" s="206"/>
      <c r="P72" s="183"/>
      <c r="Q72" s="208"/>
      <c r="R72" s="179"/>
      <c r="S72" s="215"/>
      <c r="T72" s="218"/>
      <c r="U72" s="221"/>
      <c r="V72" s="179"/>
      <c r="W72" s="13"/>
      <c r="X72" s="79"/>
    </row>
    <row r="73" spans="1:24" s="10" customFormat="1" ht="19.95" customHeight="1" x14ac:dyDescent="0.3">
      <c r="A73" s="24" t="s">
        <v>41</v>
      </c>
      <c r="B73" s="24" t="s">
        <v>131</v>
      </c>
      <c r="C73" s="78" t="s">
        <v>49</v>
      </c>
      <c r="D73" s="6">
        <v>11.96</v>
      </c>
      <c r="E73" s="7">
        <v>200</v>
      </c>
      <c r="F73" s="7">
        <v>50</v>
      </c>
      <c r="G73" s="6">
        <f t="shared" si="84"/>
        <v>5.9800000000000006E-2</v>
      </c>
      <c r="H73" s="6">
        <f t="shared" si="75"/>
        <v>2.99</v>
      </c>
      <c r="I73" s="205"/>
      <c r="J73" s="213"/>
      <c r="K73" s="188"/>
      <c r="L73" s="205"/>
      <c r="M73" s="208"/>
      <c r="N73" s="205"/>
      <c r="O73" s="206"/>
      <c r="P73" s="183"/>
      <c r="Q73" s="208"/>
      <c r="R73" s="179"/>
      <c r="S73" s="215"/>
      <c r="T73" s="218"/>
      <c r="U73" s="221"/>
      <c r="V73" s="179"/>
      <c r="W73" s="13"/>
      <c r="X73" s="79"/>
    </row>
    <row r="74" spans="1:24" s="10" customFormat="1" ht="19.95" customHeight="1" x14ac:dyDescent="0.3">
      <c r="A74" s="24" t="s">
        <v>41</v>
      </c>
      <c r="B74" s="24" t="s">
        <v>131</v>
      </c>
      <c r="C74" s="78" t="s">
        <v>20</v>
      </c>
      <c r="D74" s="6">
        <v>6</v>
      </c>
      <c r="E74" s="7">
        <v>395</v>
      </c>
      <c r="F74" s="7">
        <v>395</v>
      </c>
      <c r="G74" s="6">
        <f t="shared" si="84"/>
        <v>1.5189873417721518E-2</v>
      </c>
      <c r="H74" s="6">
        <f t="shared" si="75"/>
        <v>6</v>
      </c>
      <c r="I74" s="205">
        <f>SUM(H74:H76)</f>
        <v>10</v>
      </c>
      <c r="J74" s="213">
        <v>338</v>
      </c>
      <c r="K74" s="188">
        <f t="shared" si="87"/>
        <v>18.777777777777779</v>
      </c>
      <c r="L74" s="205">
        <v>1</v>
      </c>
      <c r="M74" s="208"/>
      <c r="N74" s="205">
        <v>1</v>
      </c>
      <c r="O74" s="206">
        <v>0</v>
      </c>
      <c r="P74" s="183">
        <f t="shared" ref="P74" si="92">(I74+L74+M74+N74)*(1+O74)+(0.5)</f>
        <v>12.5</v>
      </c>
      <c r="Q74" s="208"/>
      <c r="R74" s="179"/>
      <c r="S74" s="215"/>
      <c r="T74" s="218"/>
      <c r="U74" s="221"/>
      <c r="V74" s="179"/>
      <c r="W74" s="13"/>
      <c r="X74" s="79"/>
    </row>
    <row r="75" spans="1:24" s="10" customFormat="1" ht="19.95" customHeight="1" x14ac:dyDescent="0.3">
      <c r="A75" s="24" t="s">
        <v>41</v>
      </c>
      <c r="B75" s="24" t="s">
        <v>131</v>
      </c>
      <c r="C75" s="78" t="s">
        <v>30</v>
      </c>
      <c r="D75" s="6">
        <v>3</v>
      </c>
      <c r="E75" s="7">
        <v>200</v>
      </c>
      <c r="F75" s="7">
        <v>100</v>
      </c>
      <c r="G75" s="6">
        <f t="shared" si="84"/>
        <v>1.4999999999999999E-2</v>
      </c>
      <c r="H75" s="6">
        <f t="shared" si="75"/>
        <v>1.5</v>
      </c>
      <c r="I75" s="205"/>
      <c r="J75" s="213"/>
      <c r="K75" s="188"/>
      <c r="L75" s="205"/>
      <c r="M75" s="208"/>
      <c r="N75" s="205"/>
      <c r="O75" s="206"/>
      <c r="P75" s="183"/>
      <c r="Q75" s="208"/>
      <c r="R75" s="179"/>
      <c r="S75" s="215"/>
      <c r="T75" s="218"/>
      <c r="U75" s="221"/>
      <c r="V75" s="179"/>
      <c r="W75" s="13"/>
      <c r="X75" s="79"/>
    </row>
    <row r="76" spans="1:24" s="10" customFormat="1" ht="19.95" customHeight="1" x14ac:dyDescent="0.3">
      <c r="A76" s="24" t="s">
        <v>41</v>
      </c>
      <c r="B76" s="24" t="s">
        <v>131</v>
      </c>
      <c r="C76" s="78" t="s">
        <v>32</v>
      </c>
      <c r="D76" s="6">
        <v>20</v>
      </c>
      <c r="E76" s="7">
        <v>400</v>
      </c>
      <c r="F76" s="7">
        <v>50</v>
      </c>
      <c r="G76" s="6">
        <f t="shared" si="84"/>
        <v>0.05</v>
      </c>
      <c r="H76" s="6">
        <f t="shared" si="75"/>
        <v>2.5</v>
      </c>
      <c r="I76" s="205"/>
      <c r="J76" s="213"/>
      <c r="K76" s="188"/>
      <c r="L76" s="205"/>
      <c r="M76" s="209"/>
      <c r="N76" s="205"/>
      <c r="O76" s="206"/>
      <c r="P76" s="183"/>
      <c r="Q76" s="209"/>
      <c r="R76" s="180"/>
      <c r="S76" s="216"/>
      <c r="T76" s="219"/>
      <c r="U76" s="222"/>
      <c r="V76" s="180"/>
      <c r="W76" s="13"/>
      <c r="X76" s="79"/>
    </row>
    <row r="77" spans="1:24" s="71" customFormat="1" ht="19.95" customHeight="1" x14ac:dyDescent="0.3">
      <c r="A77" s="66" t="s">
        <v>41</v>
      </c>
      <c r="B77" s="24" t="s">
        <v>132</v>
      </c>
      <c r="C77" s="67" t="s">
        <v>20</v>
      </c>
      <c r="D77" s="68">
        <v>6</v>
      </c>
      <c r="E77" s="69">
        <v>395</v>
      </c>
      <c r="F77" s="69">
        <v>395</v>
      </c>
      <c r="G77" s="68">
        <f t="shared" ref="G77:G80" si="93">IFERROR(D77/E77,0)</f>
        <v>1.5189873417721518E-2</v>
      </c>
      <c r="H77" s="68">
        <f t="shared" ref="H77:H80" si="94">G77*F77</f>
        <v>6</v>
      </c>
      <c r="I77" s="181">
        <f t="shared" ref="I77" si="95">SUM(H77:H80)</f>
        <v>14.150666666666666</v>
      </c>
      <c r="J77" s="199">
        <v>338</v>
      </c>
      <c r="K77" s="188">
        <f t="shared" ref="K77" si="96">J77/18</f>
        <v>18.777777777777779</v>
      </c>
      <c r="L77" s="181">
        <v>0</v>
      </c>
      <c r="M77" s="181">
        <f t="shared" ref="M77" si="97">K77*0.06</f>
        <v>1.1266666666666667</v>
      </c>
      <c r="N77" s="181">
        <v>1</v>
      </c>
      <c r="O77" s="182">
        <v>0</v>
      </c>
      <c r="P77" s="183">
        <f t="shared" ref="P77" si="98">(I77+L77+M77+N77)*(1+O77)+(0.5)</f>
        <v>16.777333333333331</v>
      </c>
      <c r="Q77" s="181">
        <f t="shared" ref="Q77" si="99">IFERROR(P77/K77,0)</f>
        <v>0.89346745562130159</v>
      </c>
      <c r="R77" s="189">
        <f t="shared" ref="R77" si="100">IFERROR(Q77+T77,0)</f>
        <v>2.0013671005917155</v>
      </c>
      <c r="S77" s="192">
        <v>1.24</v>
      </c>
      <c r="T77" s="191">
        <f>'Custo Produto'!$Q77*'Custo Produto'!$S77</f>
        <v>1.1078996449704139</v>
      </c>
      <c r="U77" s="190">
        <f t="shared" ref="U77" si="101">T77/R77</f>
        <v>0.5535714285714286</v>
      </c>
      <c r="V77" s="189">
        <f t="shared" ref="V77" si="102">T77*K77</f>
        <v>20.803893333333328</v>
      </c>
      <c r="W77" s="72"/>
      <c r="X77" s="73"/>
    </row>
    <row r="78" spans="1:24" s="71" customFormat="1" ht="19.95" customHeight="1" x14ac:dyDescent="0.3">
      <c r="A78" s="66" t="s">
        <v>41</v>
      </c>
      <c r="B78" s="24" t="s">
        <v>132</v>
      </c>
      <c r="C78" s="67" t="s">
        <v>30</v>
      </c>
      <c r="D78" s="68">
        <v>3</v>
      </c>
      <c r="E78" s="69">
        <v>200</v>
      </c>
      <c r="F78" s="69">
        <v>100</v>
      </c>
      <c r="G78" s="68">
        <f t="shared" si="93"/>
        <v>1.4999999999999999E-2</v>
      </c>
      <c r="H78" s="68">
        <f t="shared" si="94"/>
        <v>1.5</v>
      </c>
      <c r="I78" s="181"/>
      <c r="J78" s="200"/>
      <c r="K78" s="188"/>
      <c r="L78" s="181"/>
      <c r="M78" s="181"/>
      <c r="N78" s="181"/>
      <c r="O78" s="182"/>
      <c r="P78" s="183"/>
      <c r="Q78" s="181"/>
      <c r="R78" s="189"/>
      <c r="S78" s="192"/>
      <c r="T78" s="191"/>
      <c r="U78" s="190"/>
      <c r="V78" s="189"/>
      <c r="W78" s="72"/>
      <c r="X78" s="73"/>
    </row>
    <row r="79" spans="1:24" s="71" customFormat="1" ht="19.95" customHeight="1" x14ac:dyDescent="0.3">
      <c r="A79" s="66" t="s">
        <v>41</v>
      </c>
      <c r="B79" s="24" t="s">
        <v>132</v>
      </c>
      <c r="C79" s="75" t="s">
        <v>142</v>
      </c>
      <c r="D79" s="76">
        <v>7.39</v>
      </c>
      <c r="E79" s="69">
        <v>50</v>
      </c>
      <c r="F79" s="69">
        <v>30</v>
      </c>
      <c r="G79" s="68">
        <f t="shared" si="93"/>
        <v>0.14779999999999999</v>
      </c>
      <c r="H79" s="68">
        <f t="shared" si="94"/>
        <v>4.4339999999999993</v>
      </c>
      <c r="I79" s="181"/>
      <c r="J79" s="200"/>
      <c r="K79" s="188"/>
      <c r="L79" s="181"/>
      <c r="M79" s="181"/>
      <c r="N79" s="181"/>
      <c r="O79" s="182"/>
      <c r="P79" s="183"/>
      <c r="Q79" s="181"/>
      <c r="R79" s="189"/>
      <c r="S79" s="192"/>
      <c r="T79" s="191"/>
      <c r="U79" s="190"/>
      <c r="V79" s="189"/>
      <c r="W79" s="72"/>
      <c r="X79" s="73"/>
    </row>
    <row r="80" spans="1:24" s="71" customFormat="1" ht="19.95" customHeight="1" x14ac:dyDescent="0.3">
      <c r="A80" s="66" t="s">
        <v>41</v>
      </c>
      <c r="B80" s="24" t="s">
        <v>132</v>
      </c>
      <c r="C80" s="75" t="s">
        <v>143</v>
      </c>
      <c r="D80" s="76">
        <v>5</v>
      </c>
      <c r="E80" s="69">
        <v>300</v>
      </c>
      <c r="F80" s="69">
        <v>133</v>
      </c>
      <c r="G80" s="68">
        <f t="shared" si="93"/>
        <v>1.6666666666666666E-2</v>
      </c>
      <c r="H80" s="68">
        <f t="shared" si="94"/>
        <v>2.2166666666666668</v>
      </c>
      <c r="I80" s="181"/>
      <c r="J80" s="201"/>
      <c r="K80" s="188"/>
      <c r="L80" s="181"/>
      <c r="M80" s="181"/>
      <c r="N80" s="181"/>
      <c r="O80" s="182"/>
      <c r="P80" s="183"/>
      <c r="Q80" s="181"/>
      <c r="R80" s="189"/>
      <c r="S80" s="192"/>
      <c r="T80" s="191"/>
      <c r="U80" s="190"/>
      <c r="V80" s="189"/>
      <c r="W80" s="72"/>
      <c r="X80" s="73"/>
    </row>
    <row r="81" spans="1:24" s="71" customFormat="1" ht="19.95" customHeight="1" x14ac:dyDescent="0.3">
      <c r="A81" s="66" t="s">
        <v>41</v>
      </c>
      <c r="B81" s="24" t="s">
        <v>133</v>
      </c>
      <c r="C81" s="67" t="s">
        <v>20</v>
      </c>
      <c r="D81" s="68">
        <v>6</v>
      </c>
      <c r="E81" s="69">
        <v>395</v>
      </c>
      <c r="F81" s="69">
        <v>395</v>
      </c>
      <c r="G81" s="68">
        <f t="shared" ref="G81:G83" si="103">IFERROR(D81/E81,0)</f>
        <v>1.5189873417721518E-2</v>
      </c>
      <c r="H81" s="68">
        <f t="shared" ref="H81:H83" si="104">G81*F81</f>
        <v>6</v>
      </c>
      <c r="I81" s="181">
        <f t="shared" ref="I81" si="105">SUM(H81:H83)</f>
        <v>17.579999999999998</v>
      </c>
      <c r="J81" s="199">
        <v>338</v>
      </c>
      <c r="K81" s="188">
        <f t="shared" ref="K81:K93" si="106">J81/18</f>
        <v>18.777777777777779</v>
      </c>
      <c r="L81" s="181">
        <v>0</v>
      </c>
      <c r="M81" s="181">
        <f t="shared" ref="M81" si="107">K81*0.06</f>
        <v>1.1266666666666667</v>
      </c>
      <c r="N81" s="181">
        <v>1</v>
      </c>
      <c r="O81" s="182">
        <v>0</v>
      </c>
      <c r="P81" s="183">
        <f t="shared" ref="P81" si="108">(I81+L81+M81+N81)*(1+O81)+(0.5)</f>
        <v>20.206666666666663</v>
      </c>
      <c r="Q81" s="181">
        <f t="shared" ref="Q81" si="109">IFERROR(P81/K81,0)</f>
        <v>1.0760946745562128</v>
      </c>
      <c r="R81" s="189">
        <f t="shared" ref="R81" si="110">IFERROR(Q81+T81,0)</f>
        <v>2.001536094674556</v>
      </c>
      <c r="S81" s="192">
        <v>0.86</v>
      </c>
      <c r="T81" s="191">
        <f>'Custo Produto'!$Q81*'Custo Produto'!$S81</f>
        <v>0.92544142011834296</v>
      </c>
      <c r="U81" s="190">
        <f t="shared" ref="U81" si="111">T81/R81</f>
        <v>0.46236559139784938</v>
      </c>
      <c r="V81" s="189">
        <f t="shared" ref="V81" si="112">T81*K81</f>
        <v>17.377733333333328</v>
      </c>
      <c r="W81" s="72"/>
      <c r="X81" s="73"/>
    </row>
    <row r="82" spans="1:24" s="71" customFormat="1" ht="19.95" customHeight="1" x14ac:dyDescent="0.3">
      <c r="A82" s="66" t="s">
        <v>41</v>
      </c>
      <c r="B82" s="24" t="s">
        <v>133</v>
      </c>
      <c r="C82" s="67" t="s">
        <v>30</v>
      </c>
      <c r="D82" s="68">
        <v>3</v>
      </c>
      <c r="E82" s="69">
        <v>200</v>
      </c>
      <c r="F82" s="69">
        <v>100</v>
      </c>
      <c r="G82" s="68">
        <f t="shared" si="103"/>
        <v>1.4999999999999999E-2</v>
      </c>
      <c r="H82" s="68">
        <f t="shared" si="104"/>
        <v>1.5</v>
      </c>
      <c r="I82" s="181"/>
      <c r="J82" s="200"/>
      <c r="K82" s="188"/>
      <c r="L82" s="181"/>
      <c r="M82" s="181"/>
      <c r="N82" s="181"/>
      <c r="O82" s="182"/>
      <c r="P82" s="183"/>
      <c r="Q82" s="181"/>
      <c r="R82" s="189"/>
      <c r="S82" s="192"/>
      <c r="T82" s="191"/>
      <c r="U82" s="190"/>
      <c r="V82" s="189"/>
      <c r="W82" s="72"/>
      <c r="X82" s="73"/>
    </row>
    <row r="83" spans="1:24" s="71" customFormat="1" ht="19.95" customHeight="1" x14ac:dyDescent="0.3">
      <c r="A83" s="66" t="s">
        <v>41</v>
      </c>
      <c r="B83" s="24" t="s">
        <v>133</v>
      </c>
      <c r="C83" s="67" t="s">
        <v>145</v>
      </c>
      <c r="D83" s="68">
        <v>8</v>
      </c>
      <c r="E83" s="69">
        <v>100</v>
      </c>
      <c r="F83" s="69">
        <v>126</v>
      </c>
      <c r="G83" s="68">
        <f t="shared" si="103"/>
        <v>0.08</v>
      </c>
      <c r="H83" s="68">
        <f t="shared" si="104"/>
        <v>10.08</v>
      </c>
      <c r="I83" s="181"/>
      <c r="J83" s="201"/>
      <c r="K83" s="188"/>
      <c r="L83" s="181"/>
      <c r="M83" s="181"/>
      <c r="N83" s="181"/>
      <c r="O83" s="182"/>
      <c r="P83" s="183"/>
      <c r="Q83" s="181"/>
      <c r="R83" s="189"/>
      <c r="S83" s="192"/>
      <c r="T83" s="191"/>
      <c r="U83" s="190"/>
      <c r="V83" s="189"/>
      <c r="W83" s="72"/>
      <c r="X83" s="73"/>
    </row>
    <row r="84" spans="1:24" s="71" customFormat="1" ht="19.95" customHeight="1" x14ac:dyDescent="0.3">
      <c r="A84" s="66" t="s">
        <v>41</v>
      </c>
      <c r="B84" s="24" t="s">
        <v>134</v>
      </c>
      <c r="C84" s="67" t="s">
        <v>20</v>
      </c>
      <c r="D84" s="68">
        <v>6</v>
      </c>
      <c r="E84" s="69">
        <v>395</v>
      </c>
      <c r="F84" s="69">
        <v>395</v>
      </c>
      <c r="G84" s="68">
        <f t="shared" ref="G84:G86" si="113">IFERROR(D84/E84,0)</f>
        <v>1.5189873417721518E-2</v>
      </c>
      <c r="H84" s="68">
        <f t="shared" ref="H84:H86" si="114">G84*F84</f>
        <v>6</v>
      </c>
      <c r="I84" s="181">
        <f>SUM(H84:H87)</f>
        <v>13.385714285714286</v>
      </c>
      <c r="J84" s="187">
        <v>338</v>
      </c>
      <c r="K84" s="188">
        <f t="shared" si="106"/>
        <v>18.777777777777779</v>
      </c>
      <c r="L84" s="181">
        <v>0</v>
      </c>
      <c r="M84" s="181">
        <f t="shared" ref="M84" si="115">K84*0.06</f>
        <v>1.1266666666666667</v>
      </c>
      <c r="N84" s="181">
        <v>1</v>
      </c>
      <c r="O84" s="182">
        <v>0</v>
      </c>
      <c r="P84" s="183">
        <f t="shared" ref="P84" si="116">(I84+L84+M84+N84)*(1+O84)+(0.5)</f>
        <v>16.012380952380951</v>
      </c>
      <c r="Q84" s="181">
        <f t="shared" ref="Q84" si="117">IFERROR(P84/K84,0)</f>
        <v>0.85273034657650038</v>
      </c>
      <c r="R84" s="189">
        <f t="shared" ref="R84" si="118">IFERROR(Q84+T84,0)</f>
        <v>2.0039163144547762</v>
      </c>
      <c r="S84" s="192">
        <v>1.35</v>
      </c>
      <c r="T84" s="191">
        <f>'Custo Produto'!$Q84*'Custo Produto'!$S84</f>
        <v>1.1511859678782757</v>
      </c>
      <c r="U84" s="190">
        <f t="shared" ref="U84" si="119">T84/R84</f>
        <v>0.57446808510638292</v>
      </c>
      <c r="V84" s="189">
        <f t="shared" ref="V84" si="120">T84*K84</f>
        <v>21.616714285714288</v>
      </c>
      <c r="W84" s="72"/>
      <c r="X84" s="73"/>
    </row>
    <row r="85" spans="1:24" s="71" customFormat="1" ht="19.95" customHeight="1" x14ac:dyDescent="0.3">
      <c r="A85" s="66" t="s">
        <v>41</v>
      </c>
      <c r="B85" s="24" t="s">
        <v>134</v>
      </c>
      <c r="C85" s="67" t="s">
        <v>30</v>
      </c>
      <c r="D85" s="68">
        <v>3</v>
      </c>
      <c r="E85" s="69">
        <v>200</v>
      </c>
      <c r="F85" s="69">
        <v>100</v>
      </c>
      <c r="G85" s="68">
        <f t="shared" si="113"/>
        <v>1.4999999999999999E-2</v>
      </c>
      <c r="H85" s="68">
        <f t="shared" si="114"/>
        <v>1.5</v>
      </c>
      <c r="I85" s="181"/>
      <c r="J85" s="187"/>
      <c r="K85" s="188"/>
      <c r="L85" s="181"/>
      <c r="M85" s="181"/>
      <c r="N85" s="181"/>
      <c r="O85" s="182"/>
      <c r="P85" s="183"/>
      <c r="Q85" s="181"/>
      <c r="R85" s="189"/>
      <c r="S85" s="192"/>
      <c r="T85" s="191"/>
      <c r="U85" s="190"/>
      <c r="V85" s="189"/>
      <c r="W85" s="72"/>
      <c r="X85" s="73"/>
    </row>
    <row r="86" spans="1:24" s="71" customFormat="1" ht="19.95" customHeight="1" x14ac:dyDescent="0.3">
      <c r="A86" s="66" t="s">
        <v>41</v>
      </c>
      <c r="B86" s="24" t="s">
        <v>134</v>
      </c>
      <c r="C86" s="67" t="s">
        <v>33</v>
      </c>
      <c r="D86" s="68">
        <v>8</v>
      </c>
      <c r="E86" s="69">
        <v>400</v>
      </c>
      <c r="F86" s="69">
        <v>50</v>
      </c>
      <c r="G86" s="68">
        <f t="shared" si="113"/>
        <v>0.02</v>
      </c>
      <c r="H86" s="68">
        <f t="shared" si="114"/>
        <v>1</v>
      </c>
      <c r="I86" s="181"/>
      <c r="J86" s="187"/>
      <c r="K86" s="188"/>
      <c r="L86" s="181"/>
      <c r="M86" s="181"/>
      <c r="N86" s="181"/>
      <c r="O86" s="182"/>
      <c r="P86" s="183"/>
      <c r="Q86" s="181"/>
      <c r="R86" s="189"/>
      <c r="S86" s="192"/>
      <c r="T86" s="191"/>
      <c r="U86" s="190"/>
      <c r="V86" s="189"/>
      <c r="W86" s="72"/>
      <c r="X86" s="73"/>
    </row>
    <row r="87" spans="1:24" s="71" customFormat="1" ht="19.95" customHeight="1" x14ac:dyDescent="0.3">
      <c r="A87" s="66" t="s">
        <v>41</v>
      </c>
      <c r="B87" s="24" t="s">
        <v>134</v>
      </c>
      <c r="C87" s="67" t="s">
        <v>88</v>
      </c>
      <c r="D87" s="68">
        <v>45</v>
      </c>
      <c r="E87" s="69">
        <v>700</v>
      </c>
      <c r="F87" s="69">
        <v>76</v>
      </c>
      <c r="G87" s="68">
        <f t="shared" ref="G87:G90" si="121">IFERROR(D87/E87,0)</f>
        <v>6.4285714285714279E-2</v>
      </c>
      <c r="H87" s="68">
        <f t="shared" ref="H87:H90" si="122">G87*F87</f>
        <v>4.8857142857142852</v>
      </c>
      <c r="I87" s="181"/>
      <c r="J87" s="187"/>
      <c r="K87" s="188"/>
      <c r="L87" s="181"/>
      <c r="M87" s="181"/>
      <c r="N87" s="181"/>
      <c r="O87" s="182"/>
      <c r="P87" s="183"/>
      <c r="Q87" s="181"/>
      <c r="R87" s="189"/>
      <c r="S87" s="192"/>
      <c r="T87" s="191"/>
      <c r="U87" s="190"/>
      <c r="V87" s="189"/>
      <c r="W87" s="72"/>
      <c r="X87" s="73"/>
    </row>
    <row r="88" spans="1:24" s="71" customFormat="1" ht="19.95" customHeight="1" x14ac:dyDescent="0.3">
      <c r="A88" s="66" t="s">
        <v>41</v>
      </c>
      <c r="B88" s="24" t="s">
        <v>135</v>
      </c>
      <c r="C88" s="67" t="s">
        <v>20</v>
      </c>
      <c r="D88" s="68">
        <v>6</v>
      </c>
      <c r="E88" s="69">
        <v>395</v>
      </c>
      <c r="F88" s="69">
        <v>395</v>
      </c>
      <c r="G88" s="68">
        <f t="shared" si="121"/>
        <v>1.5189873417721518E-2</v>
      </c>
      <c r="H88" s="68">
        <f t="shared" si="122"/>
        <v>6</v>
      </c>
      <c r="I88" s="181">
        <f>SUM(H88:H92)</f>
        <v>18.34223602484472</v>
      </c>
      <c r="J88" s="187">
        <v>338</v>
      </c>
      <c r="K88" s="188">
        <f t="shared" si="106"/>
        <v>18.777777777777779</v>
      </c>
      <c r="L88" s="181">
        <v>0</v>
      </c>
      <c r="M88" s="181">
        <f t="shared" ref="M88" si="123">K88*0.06</f>
        <v>1.1266666666666667</v>
      </c>
      <c r="N88" s="181">
        <v>1</v>
      </c>
      <c r="O88" s="182">
        <v>0</v>
      </c>
      <c r="P88" s="183">
        <f t="shared" ref="P88" si="124">(I88+L88+M88+N88)*(1+O88)+(0.5)</f>
        <v>20.968902691511385</v>
      </c>
      <c r="Q88" s="181">
        <f t="shared" ref="Q88" si="125">IFERROR(P88/K88,0)</f>
        <v>1.1166871255834465</v>
      </c>
      <c r="R88" s="189">
        <f t="shared" ref="R88" si="126">IFERROR(Q88+T88,0)</f>
        <v>1.9988699547943694</v>
      </c>
      <c r="S88" s="192">
        <v>0.79</v>
      </c>
      <c r="T88" s="191">
        <f>'Custo Produto'!$Q88*'Custo Produto'!$S88</f>
        <v>0.88218282921092284</v>
      </c>
      <c r="U88" s="190">
        <f t="shared" ref="U88" si="127">T88/R88</f>
        <v>0.44134078212290506</v>
      </c>
      <c r="V88" s="189">
        <f t="shared" ref="V88" si="128">T88*K88</f>
        <v>16.565433126293996</v>
      </c>
      <c r="W88" s="72"/>
      <c r="X88" s="73"/>
    </row>
    <row r="89" spans="1:24" s="71" customFormat="1" ht="19.95" customHeight="1" x14ac:dyDescent="0.3">
      <c r="A89" s="66" t="s">
        <v>41</v>
      </c>
      <c r="B89" s="24" t="s">
        <v>135</v>
      </c>
      <c r="C89" s="67" t="s">
        <v>30</v>
      </c>
      <c r="D89" s="68">
        <v>3</v>
      </c>
      <c r="E89" s="69">
        <v>200</v>
      </c>
      <c r="F89" s="69">
        <v>100</v>
      </c>
      <c r="G89" s="68">
        <f t="shared" si="121"/>
        <v>1.4999999999999999E-2</v>
      </c>
      <c r="H89" s="68">
        <f t="shared" si="122"/>
        <v>1.5</v>
      </c>
      <c r="I89" s="181"/>
      <c r="J89" s="187"/>
      <c r="K89" s="188"/>
      <c r="L89" s="181"/>
      <c r="M89" s="181"/>
      <c r="N89" s="181"/>
      <c r="O89" s="182"/>
      <c r="P89" s="183"/>
      <c r="Q89" s="181"/>
      <c r="R89" s="189"/>
      <c r="S89" s="192"/>
      <c r="T89" s="191"/>
      <c r="U89" s="190"/>
      <c r="V89" s="189"/>
      <c r="W89" s="72"/>
      <c r="X89" s="73"/>
    </row>
    <row r="90" spans="1:24" s="71" customFormat="1" ht="19.95" customHeight="1" x14ac:dyDescent="0.3">
      <c r="A90" s="66" t="s">
        <v>41</v>
      </c>
      <c r="B90" s="24" t="s">
        <v>135</v>
      </c>
      <c r="C90" s="67" t="s">
        <v>33</v>
      </c>
      <c r="D90" s="68">
        <v>8</v>
      </c>
      <c r="E90" s="69">
        <v>400</v>
      </c>
      <c r="F90" s="69">
        <v>50</v>
      </c>
      <c r="G90" s="68">
        <f t="shared" si="121"/>
        <v>0.02</v>
      </c>
      <c r="H90" s="68">
        <f t="shared" si="122"/>
        <v>1</v>
      </c>
      <c r="I90" s="181"/>
      <c r="J90" s="187"/>
      <c r="K90" s="188"/>
      <c r="L90" s="181"/>
      <c r="M90" s="181"/>
      <c r="N90" s="181"/>
      <c r="O90" s="182"/>
      <c r="P90" s="183"/>
      <c r="Q90" s="181"/>
      <c r="R90" s="189"/>
      <c r="S90" s="192"/>
      <c r="T90" s="191"/>
      <c r="U90" s="190"/>
      <c r="V90" s="189"/>
      <c r="W90" s="72"/>
      <c r="X90" s="73"/>
    </row>
    <row r="91" spans="1:24" s="71" customFormat="1" ht="19.95" customHeight="1" x14ac:dyDescent="0.3">
      <c r="A91" s="66" t="s">
        <v>41</v>
      </c>
      <c r="B91" s="24" t="s">
        <v>135</v>
      </c>
      <c r="C91" s="67" t="s">
        <v>88</v>
      </c>
      <c r="D91" s="68">
        <v>45</v>
      </c>
      <c r="E91" s="69">
        <v>700</v>
      </c>
      <c r="F91" s="69">
        <v>76</v>
      </c>
      <c r="G91" s="68">
        <f t="shared" ref="G91:G92" si="129">IFERROR(D91/E91,0)</f>
        <v>6.4285714285714279E-2</v>
      </c>
      <c r="H91" s="68">
        <f t="shared" ref="H91:H92" si="130">G91*F91</f>
        <v>4.8857142857142852</v>
      </c>
      <c r="I91" s="181"/>
      <c r="J91" s="187"/>
      <c r="K91" s="188"/>
      <c r="L91" s="181"/>
      <c r="M91" s="181"/>
      <c r="N91" s="181"/>
      <c r="O91" s="182"/>
      <c r="P91" s="183"/>
      <c r="Q91" s="181"/>
      <c r="R91" s="189"/>
      <c r="S91" s="192"/>
      <c r="T91" s="191"/>
      <c r="U91" s="190"/>
      <c r="V91" s="189"/>
      <c r="W91" s="72"/>
      <c r="X91" s="73"/>
    </row>
    <row r="92" spans="1:24" s="71" customFormat="1" ht="19.95" customHeight="1" x14ac:dyDescent="0.3">
      <c r="A92" s="66" t="s">
        <v>41</v>
      </c>
      <c r="B92" s="24" t="s">
        <v>135</v>
      </c>
      <c r="C92" s="77" t="s">
        <v>144</v>
      </c>
      <c r="D92" s="68">
        <v>15</v>
      </c>
      <c r="E92" s="69">
        <v>230</v>
      </c>
      <c r="F92" s="69">
        <v>76</v>
      </c>
      <c r="G92" s="68">
        <f t="shared" si="129"/>
        <v>6.5217391304347824E-2</v>
      </c>
      <c r="H92" s="68">
        <f t="shared" si="130"/>
        <v>4.9565217391304346</v>
      </c>
      <c r="I92" s="181"/>
      <c r="J92" s="187"/>
      <c r="K92" s="188"/>
      <c r="L92" s="181"/>
      <c r="M92" s="181"/>
      <c r="N92" s="181"/>
      <c r="O92" s="182"/>
      <c r="P92" s="183"/>
      <c r="Q92" s="181"/>
      <c r="R92" s="189"/>
      <c r="S92" s="192"/>
      <c r="T92" s="191"/>
      <c r="U92" s="190"/>
      <c r="V92" s="189"/>
      <c r="W92" s="72"/>
      <c r="X92" s="73"/>
    </row>
    <row r="93" spans="1:24" s="71" customFormat="1" ht="19.95" customHeight="1" x14ac:dyDescent="0.3">
      <c r="A93" s="66" t="s">
        <v>41</v>
      </c>
      <c r="B93" s="24" t="s">
        <v>136</v>
      </c>
      <c r="C93" s="67" t="s">
        <v>20</v>
      </c>
      <c r="D93" s="68">
        <v>6</v>
      </c>
      <c r="E93" s="69">
        <v>395</v>
      </c>
      <c r="F93" s="69">
        <v>395</v>
      </c>
      <c r="G93" s="68">
        <f t="shared" ref="G93:G94" si="131">IFERROR(D93/E93,0)</f>
        <v>1.5189873417721518E-2</v>
      </c>
      <c r="H93" s="68">
        <f t="shared" ref="H93:H94" si="132">G93*F93</f>
        <v>6</v>
      </c>
      <c r="I93" s="181">
        <f>SUM(H93:H95)</f>
        <v>8.0696999999999992</v>
      </c>
      <c r="J93" s="199">
        <v>338</v>
      </c>
      <c r="K93" s="188">
        <f t="shared" si="106"/>
        <v>18.777777777777779</v>
      </c>
      <c r="L93" s="181">
        <v>1</v>
      </c>
      <c r="M93" s="181">
        <f t="shared" ref="M93" si="133">K93*0.06</f>
        <v>1.1266666666666667</v>
      </c>
      <c r="N93" s="181">
        <v>1</v>
      </c>
      <c r="O93" s="182">
        <v>0</v>
      </c>
      <c r="P93" s="183">
        <f t="shared" ref="P93" si="134">(I93+L93+M93+N93)*(1+O93)+(0.5)</f>
        <v>11.696366666666666</v>
      </c>
      <c r="Q93" s="181">
        <f t="shared" ref="Q93" si="135">IFERROR(P93/K93,0)</f>
        <v>0.62288343195266271</v>
      </c>
      <c r="R93" s="189">
        <f t="shared" ref="R93" si="136">IFERROR(Q93+T93,0)</f>
        <v>1.9994558165680472</v>
      </c>
      <c r="S93" s="192">
        <v>2.21</v>
      </c>
      <c r="T93" s="191">
        <f>'Custo Produto'!$Q93*'Custo Produto'!$S93</f>
        <v>1.3765723846153846</v>
      </c>
      <c r="U93" s="190">
        <f t="shared" ref="U93" si="137">T93/R93</f>
        <v>0.68847352024922126</v>
      </c>
      <c r="V93" s="189">
        <f t="shared" ref="V93" si="138">T93*K93</f>
        <v>25.848970333333334</v>
      </c>
      <c r="W93" s="72"/>
      <c r="X93" s="73"/>
    </row>
    <row r="94" spans="1:24" s="71" customFormat="1" ht="19.95" customHeight="1" x14ac:dyDescent="0.3">
      <c r="A94" s="66" t="s">
        <v>41</v>
      </c>
      <c r="B94" s="24" t="s">
        <v>136</v>
      </c>
      <c r="C94" s="67" t="s">
        <v>30</v>
      </c>
      <c r="D94" s="68">
        <v>3</v>
      </c>
      <c r="E94" s="69">
        <v>200</v>
      </c>
      <c r="F94" s="69">
        <v>100</v>
      </c>
      <c r="G94" s="68">
        <f t="shared" si="131"/>
        <v>1.4999999999999999E-2</v>
      </c>
      <c r="H94" s="68">
        <f t="shared" si="132"/>
        <v>1.5</v>
      </c>
      <c r="I94" s="181"/>
      <c r="J94" s="200"/>
      <c r="K94" s="188"/>
      <c r="L94" s="181"/>
      <c r="M94" s="181"/>
      <c r="N94" s="181"/>
      <c r="O94" s="182"/>
      <c r="P94" s="183"/>
      <c r="Q94" s="181"/>
      <c r="R94" s="189"/>
      <c r="S94" s="192"/>
      <c r="T94" s="191"/>
      <c r="U94" s="190"/>
      <c r="V94" s="189"/>
      <c r="W94" s="72"/>
      <c r="X94" s="73"/>
    </row>
    <row r="95" spans="1:24" s="71" customFormat="1" ht="19.95" customHeight="1" x14ac:dyDescent="0.3">
      <c r="A95" s="66" t="s">
        <v>41</v>
      </c>
      <c r="B95" s="24" t="s">
        <v>136</v>
      </c>
      <c r="C95" s="67" t="s">
        <v>141</v>
      </c>
      <c r="D95" s="68">
        <v>18.989999999999998</v>
      </c>
      <c r="E95" s="69">
        <v>5000</v>
      </c>
      <c r="F95" s="69">
        <v>150</v>
      </c>
      <c r="G95" s="68">
        <f t="shared" ref="G95" si="139">IFERROR(D95/E95,0)</f>
        <v>3.7979999999999997E-3</v>
      </c>
      <c r="H95" s="68">
        <f t="shared" ref="H95" si="140">G95*F95</f>
        <v>0.56969999999999998</v>
      </c>
      <c r="I95" s="181"/>
      <c r="J95" s="201"/>
      <c r="K95" s="188"/>
      <c r="L95" s="181"/>
      <c r="M95" s="181"/>
      <c r="N95" s="181"/>
      <c r="O95" s="182"/>
      <c r="P95" s="183"/>
      <c r="Q95" s="181"/>
      <c r="R95" s="189"/>
      <c r="S95" s="192"/>
      <c r="T95" s="191"/>
      <c r="U95" s="190"/>
      <c r="V95" s="189"/>
      <c r="W95" s="72"/>
      <c r="X95" s="73"/>
    </row>
    <row r="96" spans="1:24" s="10" customFormat="1" ht="19.95" customHeight="1" x14ac:dyDescent="0.3">
      <c r="A96" s="14" t="s">
        <v>57</v>
      </c>
      <c r="B96" s="14" t="s">
        <v>77</v>
      </c>
      <c r="C96" s="14" t="s">
        <v>57</v>
      </c>
      <c r="D96" s="6">
        <v>0</v>
      </c>
      <c r="E96" s="7">
        <v>0</v>
      </c>
      <c r="F96" s="7">
        <v>0</v>
      </c>
      <c r="G96" s="6">
        <f t="shared" si="10"/>
        <v>0</v>
      </c>
      <c r="H96" s="6">
        <f t="shared" si="11"/>
        <v>0</v>
      </c>
      <c r="I96" s="26">
        <v>0</v>
      </c>
      <c r="J96" s="26">
        <v>0</v>
      </c>
      <c r="K96" s="27">
        <v>8</v>
      </c>
      <c r="L96" s="26">
        <v>0</v>
      </c>
      <c r="M96" s="26">
        <v>0.4</v>
      </c>
      <c r="N96" s="26">
        <v>0</v>
      </c>
      <c r="O96" s="28">
        <v>0</v>
      </c>
      <c r="P96" s="29">
        <f>(Q96*K96)+M96</f>
        <v>7.2464747127578857</v>
      </c>
      <c r="Q96" s="26">
        <f>AVERAGE(Q2:Q95)</f>
        <v>0.85580933909473567</v>
      </c>
      <c r="R96" s="63">
        <f>IFERROR(Q96+T96,0)*K96+M96</f>
        <v>13.99709877953716</v>
      </c>
      <c r="S96" s="30">
        <v>0.98599999999999999</v>
      </c>
      <c r="T96" s="26">
        <f>'Custo Produto'!$Q96*'Custo Produto'!$S96</f>
        <v>0.84382800834740934</v>
      </c>
      <c r="U96" s="30">
        <f>V96/R96</f>
        <v>0.48228737777061653</v>
      </c>
      <c r="V96" s="29">
        <f>R96-P96</f>
        <v>6.7506240667792738</v>
      </c>
    </row>
    <row r="97" spans="1:22" s="10" customFormat="1" ht="19.95" customHeight="1" x14ac:dyDescent="0.3">
      <c r="A97" s="14" t="s">
        <v>57</v>
      </c>
      <c r="B97" s="14" t="s">
        <v>63</v>
      </c>
      <c r="C97" s="14" t="s">
        <v>57</v>
      </c>
      <c r="D97" s="6">
        <v>0</v>
      </c>
      <c r="E97" s="7">
        <v>0</v>
      </c>
      <c r="F97" s="7">
        <v>0</v>
      </c>
      <c r="G97" s="6">
        <f t="shared" si="10"/>
        <v>0</v>
      </c>
      <c r="H97" s="6">
        <f t="shared" si="11"/>
        <v>0</v>
      </c>
      <c r="I97" s="26">
        <v>0</v>
      </c>
      <c r="J97" s="26">
        <v>0</v>
      </c>
      <c r="K97" s="27">
        <v>12</v>
      </c>
      <c r="L97" s="26">
        <v>0</v>
      </c>
      <c r="M97" s="26">
        <v>1.6</v>
      </c>
      <c r="N97" s="26">
        <v>0</v>
      </c>
      <c r="O97" s="28">
        <v>0</v>
      </c>
      <c r="P97" s="29">
        <f>(Q97*K97)+M97</f>
        <v>11.749016247461233</v>
      </c>
      <c r="Q97" s="26">
        <f>AVERAGE(Q3:Q95)</f>
        <v>0.84575135395510281</v>
      </c>
      <c r="R97" s="63">
        <f>IFERROR(Q97+T97,0)*K97+M97</f>
        <v>20.000166456647218</v>
      </c>
      <c r="S97" s="30">
        <v>0.81299999999999994</v>
      </c>
      <c r="T97" s="26">
        <f>'Custo Produto'!$Q97*'Custo Produto'!$S97</f>
        <v>0.68759585076549856</v>
      </c>
      <c r="U97" s="30">
        <f>V97/R97</f>
        <v>0.41255407684087791</v>
      </c>
      <c r="V97" s="29">
        <f>R97-P97</f>
        <v>8.251150209185985</v>
      </c>
    </row>
    <row r="98" spans="1:22" s="10" customFormat="1" ht="19.95" customHeight="1" x14ac:dyDescent="0.3">
      <c r="A98" s="14" t="s">
        <v>57</v>
      </c>
      <c r="B98" s="14" t="s">
        <v>86</v>
      </c>
      <c r="C98" s="14" t="s">
        <v>57</v>
      </c>
      <c r="D98" s="6">
        <v>0</v>
      </c>
      <c r="E98" s="7">
        <v>0</v>
      </c>
      <c r="F98" s="7">
        <v>0</v>
      </c>
      <c r="G98" s="6">
        <f t="shared" si="10"/>
        <v>0</v>
      </c>
      <c r="H98" s="6">
        <f t="shared" si="11"/>
        <v>0</v>
      </c>
      <c r="I98" s="26">
        <v>0</v>
      </c>
      <c r="J98" s="26">
        <v>0</v>
      </c>
      <c r="K98" s="27">
        <v>30</v>
      </c>
      <c r="L98" s="26">
        <v>0</v>
      </c>
      <c r="M98" s="26">
        <v>1.8</v>
      </c>
      <c r="N98" s="26">
        <v>0</v>
      </c>
      <c r="O98" s="28">
        <v>0</v>
      </c>
      <c r="P98" s="29">
        <f>(Q98*K98)+M98</f>
        <v>27.185659729704778</v>
      </c>
      <c r="Q98" s="26">
        <f>AVERAGE(Q4:Q97)</f>
        <v>0.84618865765682594</v>
      </c>
      <c r="R98" s="63">
        <f>IFERROR(Q98+T98,0)*K98+M98</f>
        <v>49.997213562817485</v>
      </c>
      <c r="S98" s="30">
        <v>0.89859999999999995</v>
      </c>
      <c r="T98" s="26">
        <f>'Custo Produto'!$Q98*'Custo Produto'!$S98</f>
        <v>0.76038512777042377</v>
      </c>
      <c r="U98" s="30">
        <f>V98/R98</f>
        <v>0.45625650326396333</v>
      </c>
      <c r="V98" s="29">
        <f>R98-P98</f>
        <v>22.811553833112708</v>
      </c>
    </row>
    <row r="99" spans="1:22" s="10" customFormat="1" ht="19.95" customHeight="1" x14ac:dyDescent="0.3">
      <c r="A99" s="14" t="s">
        <v>57</v>
      </c>
      <c r="B99" s="14" t="s">
        <v>64</v>
      </c>
      <c r="C99" s="14" t="s">
        <v>57</v>
      </c>
      <c r="D99" s="6">
        <v>0</v>
      </c>
      <c r="E99" s="7">
        <v>0</v>
      </c>
      <c r="F99" s="7">
        <v>0</v>
      </c>
      <c r="G99" s="6">
        <f t="shared" si="10"/>
        <v>0</v>
      </c>
      <c r="H99" s="6">
        <f t="shared" si="11"/>
        <v>0</v>
      </c>
      <c r="I99" s="26">
        <v>0</v>
      </c>
      <c r="J99" s="26">
        <v>0</v>
      </c>
      <c r="K99" s="27">
        <v>100</v>
      </c>
      <c r="L99" s="26">
        <v>0</v>
      </c>
      <c r="M99" s="26">
        <v>4</v>
      </c>
      <c r="N99" s="26">
        <v>0</v>
      </c>
      <c r="O99" s="28">
        <v>0</v>
      </c>
      <c r="P99" s="29">
        <f>(Q99*K99)+M99</f>
        <v>88.6188657656826</v>
      </c>
      <c r="Q99" s="26">
        <f>AVERAGE(Q5:Q98)</f>
        <v>0.84618865765682594</v>
      </c>
      <c r="R99" s="63">
        <f>IFERROR(Q99+T99,0)*K99+M99</f>
        <v>169.99682897253953</v>
      </c>
      <c r="S99" s="30">
        <v>0.9617</v>
      </c>
      <c r="T99" s="26">
        <f>'Custo Produto'!$Q99*'Custo Produto'!$S99</f>
        <v>0.81377963206856951</v>
      </c>
      <c r="U99" s="30">
        <f>V99/R99</f>
        <v>0.47870283050986989</v>
      </c>
      <c r="V99" s="29">
        <f>R99-P99</f>
        <v>81.377963206856933</v>
      </c>
    </row>
    <row r="100" spans="1:22" x14ac:dyDescent="0.3">
      <c r="Q100" s="4"/>
    </row>
    <row r="103" spans="1:22" x14ac:dyDescent="0.3">
      <c r="S103" s="3"/>
    </row>
  </sheetData>
  <autoFilter ref="A1:V99" xr:uid="{00000000-0009-0000-0000-000002000000}"/>
  <mergeCells count="332">
    <mergeCell ref="R93:R95"/>
    <mergeCell ref="S93:S95"/>
    <mergeCell ref="T93:T95"/>
    <mergeCell ref="U93:U95"/>
    <mergeCell ref="V93:V95"/>
    <mergeCell ref="I88:I92"/>
    <mergeCell ref="J88:J92"/>
    <mergeCell ref="K88:K92"/>
    <mergeCell ref="L88:L92"/>
    <mergeCell ref="I93:I95"/>
    <mergeCell ref="J93:J95"/>
    <mergeCell ref="K93:K95"/>
    <mergeCell ref="L93:L95"/>
    <mergeCell ref="M93:M95"/>
    <mergeCell ref="N93:N95"/>
    <mergeCell ref="O93:O95"/>
    <mergeCell ref="P93:P95"/>
    <mergeCell ref="Q93:Q95"/>
    <mergeCell ref="M88:M92"/>
    <mergeCell ref="N88:N92"/>
    <mergeCell ref="O88:O92"/>
    <mergeCell ref="P88:P92"/>
    <mergeCell ref="I84:I87"/>
    <mergeCell ref="V84:V87"/>
    <mergeCell ref="U84:U87"/>
    <mergeCell ref="T84:T87"/>
    <mergeCell ref="J84:J87"/>
    <mergeCell ref="K84:K87"/>
    <mergeCell ref="L84:L87"/>
    <mergeCell ref="M84:M87"/>
    <mergeCell ref="N84:N87"/>
    <mergeCell ref="O84:O87"/>
    <mergeCell ref="P84:P87"/>
    <mergeCell ref="Q84:Q87"/>
    <mergeCell ref="R81:R83"/>
    <mergeCell ref="S81:S83"/>
    <mergeCell ref="T81:T83"/>
    <mergeCell ref="U81:U83"/>
    <mergeCell ref="V81:V83"/>
    <mergeCell ref="R84:R87"/>
    <mergeCell ref="S84:S87"/>
    <mergeCell ref="Q88:Q92"/>
    <mergeCell ref="R88:R92"/>
    <mergeCell ref="S88:S92"/>
    <mergeCell ref="T88:T92"/>
    <mergeCell ref="U88:U92"/>
    <mergeCell ref="V88:V92"/>
    <mergeCell ref="I81:I83"/>
    <mergeCell ref="J81:J83"/>
    <mergeCell ref="K81:K83"/>
    <mergeCell ref="L81:L83"/>
    <mergeCell ref="M81:M83"/>
    <mergeCell ref="N81:N83"/>
    <mergeCell ref="O81:O83"/>
    <mergeCell ref="P81:P83"/>
    <mergeCell ref="Q81:Q83"/>
    <mergeCell ref="Q68:Q76"/>
    <mergeCell ref="R68:R76"/>
    <mergeCell ref="S68:S76"/>
    <mergeCell ref="T68:T76"/>
    <mergeCell ref="U68:U76"/>
    <mergeCell ref="V68:V76"/>
    <mergeCell ref="I77:I80"/>
    <mergeCell ref="J77:J80"/>
    <mergeCell ref="K77:K80"/>
    <mergeCell ref="L77:L80"/>
    <mergeCell ref="M77:M80"/>
    <mergeCell ref="N77:N80"/>
    <mergeCell ref="O77:O80"/>
    <mergeCell ref="P77:P80"/>
    <mergeCell ref="Q77:Q80"/>
    <mergeCell ref="R77:R80"/>
    <mergeCell ref="S77:S80"/>
    <mergeCell ref="T77:T80"/>
    <mergeCell ref="U77:U80"/>
    <mergeCell ref="V77:V80"/>
    <mergeCell ref="O71:O73"/>
    <mergeCell ref="P71:P73"/>
    <mergeCell ref="K74:K76"/>
    <mergeCell ref="L74:L76"/>
    <mergeCell ref="N74:N76"/>
    <mergeCell ref="O74:O76"/>
    <mergeCell ref="P74:P76"/>
    <mergeCell ref="M68:M76"/>
    <mergeCell ref="U64:U67"/>
    <mergeCell ref="V64:V67"/>
    <mergeCell ref="I68:I70"/>
    <mergeCell ref="J68:J70"/>
    <mergeCell ref="I71:I73"/>
    <mergeCell ref="J71:J73"/>
    <mergeCell ref="I74:I76"/>
    <mergeCell ref="J74:J76"/>
    <mergeCell ref="K68:K70"/>
    <mergeCell ref="L68:L70"/>
    <mergeCell ref="N68:N70"/>
    <mergeCell ref="O68:O70"/>
    <mergeCell ref="P68:P70"/>
    <mergeCell ref="K71:K73"/>
    <mergeCell ref="L71:L73"/>
    <mergeCell ref="N71:N73"/>
    <mergeCell ref="L64:L67"/>
    <mergeCell ref="M64:M67"/>
    <mergeCell ref="N64:N67"/>
    <mergeCell ref="O64:O67"/>
    <mergeCell ref="P64:P67"/>
    <mergeCell ref="Q64:Q67"/>
    <mergeCell ref="R64:R67"/>
    <mergeCell ref="S64:S67"/>
    <mergeCell ref="T64:T67"/>
    <mergeCell ref="N60:N63"/>
    <mergeCell ref="O60:O63"/>
    <mergeCell ref="P60:P63"/>
    <mergeCell ref="Q60:Q63"/>
    <mergeCell ref="R60:R63"/>
    <mergeCell ref="S60:S63"/>
    <mergeCell ref="T60:T63"/>
    <mergeCell ref="U60:U63"/>
    <mergeCell ref="V60:V63"/>
    <mergeCell ref="N56:N59"/>
    <mergeCell ref="O56:O59"/>
    <mergeCell ref="P56:P59"/>
    <mergeCell ref="Q56:Q59"/>
    <mergeCell ref="R56:R59"/>
    <mergeCell ref="S56:S59"/>
    <mergeCell ref="T56:T59"/>
    <mergeCell ref="U56:U59"/>
    <mergeCell ref="V56:V59"/>
    <mergeCell ref="N51:N55"/>
    <mergeCell ref="O51:O55"/>
    <mergeCell ref="P51:P55"/>
    <mergeCell ref="Q51:Q55"/>
    <mergeCell ref="R51:R55"/>
    <mergeCell ref="S51:S55"/>
    <mergeCell ref="T51:T55"/>
    <mergeCell ref="U51:U55"/>
    <mergeCell ref="V51:V55"/>
    <mergeCell ref="V47:V50"/>
    <mergeCell ref="I64:I67"/>
    <mergeCell ref="J64:J67"/>
    <mergeCell ref="K64:K67"/>
    <mergeCell ref="I47:I50"/>
    <mergeCell ref="J47:J50"/>
    <mergeCell ref="K47:K50"/>
    <mergeCell ref="L47:L50"/>
    <mergeCell ref="M47:M50"/>
    <mergeCell ref="I51:I55"/>
    <mergeCell ref="J51:J55"/>
    <mergeCell ref="K51:K55"/>
    <mergeCell ref="L51:L55"/>
    <mergeCell ref="M51:M55"/>
    <mergeCell ref="I56:I59"/>
    <mergeCell ref="J56:J59"/>
    <mergeCell ref="K56:K59"/>
    <mergeCell ref="L56:L59"/>
    <mergeCell ref="M56:M59"/>
    <mergeCell ref="I60:I63"/>
    <mergeCell ref="J60:J63"/>
    <mergeCell ref="K60:K63"/>
    <mergeCell ref="L60:L63"/>
    <mergeCell ref="M60:M63"/>
    <mergeCell ref="M43:M46"/>
    <mergeCell ref="L43:L46"/>
    <mergeCell ref="K43:K46"/>
    <mergeCell ref="J43:J46"/>
    <mergeCell ref="I43:I46"/>
    <mergeCell ref="V43:V46"/>
    <mergeCell ref="U43:U46"/>
    <mergeCell ref="T43:T46"/>
    <mergeCell ref="S43:S46"/>
    <mergeCell ref="R43:R46"/>
    <mergeCell ref="N47:N50"/>
    <mergeCell ref="O47:O50"/>
    <mergeCell ref="P47:P50"/>
    <mergeCell ref="Q47:Q50"/>
    <mergeCell ref="Q36:Q42"/>
    <mergeCell ref="R36:R42"/>
    <mergeCell ref="S36:S42"/>
    <mergeCell ref="T36:T42"/>
    <mergeCell ref="U36:U42"/>
    <mergeCell ref="Q43:Q46"/>
    <mergeCell ref="P43:P46"/>
    <mergeCell ref="O43:O46"/>
    <mergeCell ref="N43:N46"/>
    <mergeCell ref="R47:R50"/>
    <mergeCell ref="S47:S50"/>
    <mergeCell ref="T47:T50"/>
    <mergeCell ref="U47:U50"/>
    <mergeCell ref="V36:V42"/>
    <mergeCell ref="I36:I42"/>
    <mergeCell ref="J36:J42"/>
    <mergeCell ref="K36:K42"/>
    <mergeCell ref="L36:L42"/>
    <mergeCell ref="M36:M42"/>
    <mergeCell ref="N36:N42"/>
    <mergeCell ref="O36:O42"/>
    <mergeCell ref="P36:P42"/>
    <mergeCell ref="S6:S9"/>
    <mergeCell ref="V6:V9"/>
    <mergeCell ref="T6:T9"/>
    <mergeCell ref="I6:I9"/>
    <mergeCell ref="K6:K9"/>
    <mergeCell ref="Q6:Q9"/>
    <mergeCell ref="R6:R9"/>
    <mergeCell ref="J6:J9"/>
    <mergeCell ref="L6:L9"/>
    <mergeCell ref="P6:P9"/>
    <mergeCell ref="O6:O9"/>
    <mergeCell ref="M6:M9"/>
    <mergeCell ref="N6:N9"/>
    <mergeCell ref="I13:I15"/>
    <mergeCell ref="J13:J15"/>
    <mergeCell ref="N10:N12"/>
    <mergeCell ref="O10:O12"/>
    <mergeCell ref="P10:P12"/>
    <mergeCell ref="Q10:Q12"/>
    <mergeCell ref="R10:R12"/>
    <mergeCell ref="I10:I12"/>
    <mergeCell ref="J10:J12"/>
    <mergeCell ref="K10:K12"/>
    <mergeCell ref="L10:L12"/>
    <mergeCell ref="M10:M12"/>
    <mergeCell ref="K13:K15"/>
    <mergeCell ref="L13:L15"/>
    <mergeCell ref="M13:M15"/>
    <mergeCell ref="N13:N15"/>
    <mergeCell ref="O13:O15"/>
    <mergeCell ref="S16:S19"/>
    <mergeCell ref="N16:N19"/>
    <mergeCell ref="O16:O19"/>
    <mergeCell ref="S10:S12"/>
    <mergeCell ref="T10:T12"/>
    <mergeCell ref="T16:T19"/>
    <mergeCell ref="V16:V19"/>
    <mergeCell ref="P13:P15"/>
    <mergeCell ref="Q13:Q15"/>
    <mergeCell ref="R13:R15"/>
    <mergeCell ref="S13:S15"/>
    <mergeCell ref="T13:T15"/>
    <mergeCell ref="P16:P19"/>
    <mergeCell ref="Q16:Q19"/>
    <mergeCell ref="R16:R19"/>
    <mergeCell ref="V10:V12"/>
    <mergeCell ref="I20:I22"/>
    <mergeCell ref="J20:J22"/>
    <mergeCell ref="K20:K22"/>
    <mergeCell ref="L20:L22"/>
    <mergeCell ref="M20:M22"/>
    <mergeCell ref="I16:I19"/>
    <mergeCell ref="J16:J19"/>
    <mergeCell ref="K16:K19"/>
    <mergeCell ref="L16:L19"/>
    <mergeCell ref="M16:M19"/>
    <mergeCell ref="I32:I35"/>
    <mergeCell ref="J32:J35"/>
    <mergeCell ref="K32:K35"/>
    <mergeCell ref="L32:L35"/>
    <mergeCell ref="M32:M35"/>
    <mergeCell ref="N32:N35"/>
    <mergeCell ref="O32:O35"/>
    <mergeCell ref="P32:P35"/>
    <mergeCell ref="Q32:Q35"/>
    <mergeCell ref="I2:I5"/>
    <mergeCell ref="V2:V5"/>
    <mergeCell ref="T2:T5"/>
    <mergeCell ref="S2:S5"/>
    <mergeCell ref="R2:R5"/>
    <mergeCell ref="Q2:Q5"/>
    <mergeCell ref="P2:P5"/>
    <mergeCell ref="O2:O5"/>
    <mergeCell ref="N2:N5"/>
    <mergeCell ref="M2:M5"/>
    <mergeCell ref="L2:L5"/>
    <mergeCell ref="K2:K5"/>
    <mergeCell ref="J2:J5"/>
    <mergeCell ref="J26:J28"/>
    <mergeCell ref="K26:K28"/>
    <mergeCell ref="L26:L28"/>
    <mergeCell ref="U20:U22"/>
    <mergeCell ref="U32:U35"/>
    <mergeCell ref="W2:W4"/>
    <mergeCell ref="U2:U5"/>
    <mergeCell ref="U13:U15"/>
    <mergeCell ref="U10:U12"/>
    <mergeCell ref="U6:U9"/>
    <mergeCell ref="U16:U19"/>
    <mergeCell ref="V13:V15"/>
    <mergeCell ref="S20:S22"/>
    <mergeCell ref="T20:T22"/>
    <mergeCell ref="V20:V22"/>
    <mergeCell ref="R32:R35"/>
    <mergeCell ref="S32:S35"/>
    <mergeCell ref="T32:T35"/>
    <mergeCell ref="V32:V35"/>
    <mergeCell ref="N20:N22"/>
    <mergeCell ref="O20:O22"/>
    <mergeCell ref="P20:P22"/>
    <mergeCell ref="Q20:Q22"/>
    <mergeCell ref="R20:R22"/>
    <mergeCell ref="I29:I31"/>
    <mergeCell ref="J29:J31"/>
    <mergeCell ref="K29:K31"/>
    <mergeCell ref="L29:L31"/>
    <mergeCell ref="M26:M31"/>
    <mergeCell ref="W23:W25"/>
    <mergeCell ref="V23:V25"/>
    <mergeCell ref="U23:U25"/>
    <mergeCell ref="T23:T25"/>
    <mergeCell ref="S23:S25"/>
    <mergeCell ref="N23:N25"/>
    <mergeCell ref="R23:R25"/>
    <mergeCell ref="Q23:Q25"/>
    <mergeCell ref="P23:P25"/>
    <mergeCell ref="O23:O25"/>
    <mergeCell ref="N26:N28"/>
    <mergeCell ref="O26:O28"/>
    <mergeCell ref="P26:P28"/>
    <mergeCell ref="M23:M25"/>
    <mergeCell ref="L23:L25"/>
    <mergeCell ref="K23:K25"/>
    <mergeCell ref="J23:J25"/>
    <mergeCell ref="I23:I25"/>
    <mergeCell ref="I26:I28"/>
    <mergeCell ref="W29:W31"/>
    <mergeCell ref="S26:S31"/>
    <mergeCell ref="T26:T31"/>
    <mergeCell ref="U26:U31"/>
    <mergeCell ref="V26:V31"/>
    <mergeCell ref="N29:N31"/>
    <mergeCell ref="O29:O31"/>
    <mergeCell ref="P29:P31"/>
    <mergeCell ref="Q26:Q31"/>
    <mergeCell ref="R26:R31"/>
  </mergeCells>
  <phoneticPr fontId="4" type="noConversion"/>
  <pageMargins left="0.511811024" right="0.511811024" top="0.78740157499999996" bottom="0.78740157499999996" header="0.31496062000000002" footer="0.31496062000000002"/>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3">
    <tabColor theme="0"/>
  </sheetPr>
  <dimension ref="A1:I31"/>
  <sheetViews>
    <sheetView workbookViewId="0">
      <selection activeCell="F32" sqref="F32"/>
    </sheetView>
  </sheetViews>
  <sheetFormatPr defaultColWidth="8.88671875" defaultRowHeight="14.4" x14ac:dyDescent="0.3"/>
  <cols>
    <col min="1" max="1" width="24.33203125" style="25" customWidth="1"/>
    <col min="2" max="2" width="19.44140625" style="25" customWidth="1"/>
    <col min="3" max="3" width="30.109375" style="25" bestFit="1" customWidth="1"/>
    <col min="4" max="4" width="36.109375" style="48" customWidth="1"/>
    <col min="5" max="6" width="39.44140625" style="48" customWidth="1"/>
    <col min="7" max="7" width="153.6640625" style="48" customWidth="1"/>
    <col min="8" max="8" width="8.88671875" style="48"/>
    <col min="9" max="9" width="23.5546875" style="48" bestFit="1" customWidth="1"/>
    <col min="10" max="16384" width="8.88671875" style="48"/>
  </cols>
  <sheetData>
    <row r="1" spans="1:9" s="23" customFormat="1" ht="21" customHeight="1" x14ac:dyDescent="0.3">
      <c r="A1" s="11" t="s">
        <v>0</v>
      </c>
      <c r="B1" s="11" t="s">
        <v>21</v>
      </c>
      <c r="C1" s="12" t="s">
        <v>24</v>
      </c>
      <c r="D1" s="12" t="s">
        <v>35</v>
      </c>
      <c r="E1" s="12" t="s">
        <v>65</v>
      </c>
      <c r="F1" s="12" t="s">
        <v>110</v>
      </c>
      <c r="G1" s="12" t="s">
        <v>78</v>
      </c>
      <c r="I1" s="50" t="s">
        <v>75</v>
      </c>
    </row>
    <row r="2" spans="1:9" x14ac:dyDescent="0.3">
      <c r="A2" s="24" t="s">
        <v>75</v>
      </c>
      <c r="B2" s="22" t="s">
        <v>20</v>
      </c>
      <c r="C2" s="7">
        <v>395</v>
      </c>
      <c r="D2" s="210">
        <v>370</v>
      </c>
      <c r="E2" s="202">
        <f>D2/15</f>
        <v>24.666666666666668</v>
      </c>
      <c r="F2" s="202">
        <f>D2/18</f>
        <v>20.555555555555557</v>
      </c>
      <c r="G2" s="224" t="s">
        <v>79</v>
      </c>
      <c r="I2" s="5" t="s">
        <v>26</v>
      </c>
    </row>
    <row r="3" spans="1:9" x14ac:dyDescent="0.3">
      <c r="A3" s="24" t="s">
        <v>75</v>
      </c>
      <c r="B3" s="22" t="s">
        <v>30</v>
      </c>
      <c r="C3" s="7">
        <v>100</v>
      </c>
      <c r="D3" s="211"/>
      <c r="E3" s="203"/>
      <c r="F3" s="203"/>
      <c r="G3" s="225"/>
      <c r="I3" s="5" t="s">
        <v>42</v>
      </c>
    </row>
    <row r="4" spans="1:9" x14ac:dyDescent="0.3">
      <c r="A4" s="24" t="s">
        <v>75</v>
      </c>
      <c r="B4" s="22" t="s">
        <v>32</v>
      </c>
      <c r="C4" s="7">
        <v>50</v>
      </c>
      <c r="D4" s="211"/>
      <c r="E4" s="203"/>
      <c r="F4" s="203"/>
      <c r="G4" s="225"/>
      <c r="I4" s="5" t="s">
        <v>27</v>
      </c>
    </row>
    <row r="5" spans="1:9" x14ac:dyDescent="0.3">
      <c r="A5" s="24" t="s">
        <v>75</v>
      </c>
      <c r="B5" s="22" t="s">
        <v>32</v>
      </c>
      <c r="C5" s="7" t="s">
        <v>68</v>
      </c>
      <c r="D5" s="211"/>
      <c r="E5" s="203"/>
      <c r="F5" s="203"/>
      <c r="G5" s="225"/>
      <c r="I5" s="5" t="s">
        <v>76</v>
      </c>
    </row>
    <row r="6" spans="1:9" ht="49.95" customHeight="1" x14ac:dyDescent="0.3">
      <c r="A6" s="24" t="s">
        <v>75</v>
      </c>
      <c r="B6" s="22" t="s">
        <v>66</v>
      </c>
      <c r="C6" s="7" t="s">
        <v>67</v>
      </c>
      <c r="D6" s="212"/>
      <c r="E6" s="204"/>
      <c r="F6" s="204"/>
      <c r="G6" s="226"/>
      <c r="I6" s="5" t="s">
        <v>47</v>
      </c>
    </row>
    <row r="7" spans="1:9" x14ac:dyDescent="0.3">
      <c r="A7" s="24" t="s">
        <v>26</v>
      </c>
      <c r="B7" s="22" t="s">
        <v>20</v>
      </c>
      <c r="C7" s="7">
        <v>395</v>
      </c>
      <c r="D7" s="210">
        <v>338</v>
      </c>
      <c r="E7" s="202">
        <f>D7/15</f>
        <v>22.533333333333335</v>
      </c>
      <c r="F7" s="202">
        <f>D7/18</f>
        <v>18.777777777777779</v>
      </c>
      <c r="G7" s="224" t="s">
        <v>80</v>
      </c>
      <c r="I7" s="5" t="s">
        <v>48</v>
      </c>
    </row>
    <row r="8" spans="1:9" x14ac:dyDescent="0.3">
      <c r="A8" s="24" t="s">
        <v>26</v>
      </c>
      <c r="B8" s="22" t="s">
        <v>30</v>
      </c>
      <c r="C8" s="7">
        <v>100</v>
      </c>
      <c r="D8" s="211"/>
      <c r="E8" s="203"/>
      <c r="F8" s="203"/>
      <c r="G8" s="225"/>
      <c r="I8" s="49"/>
    </row>
    <row r="9" spans="1:9" x14ac:dyDescent="0.3">
      <c r="A9" s="24" t="s">
        <v>26</v>
      </c>
      <c r="B9" s="22" t="s">
        <v>33</v>
      </c>
      <c r="C9" s="7">
        <v>50</v>
      </c>
      <c r="D9" s="211"/>
      <c r="E9" s="203"/>
      <c r="F9" s="203"/>
      <c r="G9" s="225"/>
    </row>
    <row r="10" spans="1:9" ht="49.95" customHeight="1" x14ac:dyDescent="0.3">
      <c r="A10" s="24" t="s">
        <v>26</v>
      </c>
      <c r="B10" s="22" t="s">
        <v>71</v>
      </c>
      <c r="C10" s="7" t="s">
        <v>68</v>
      </c>
      <c r="D10" s="211"/>
      <c r="E10" s="203"/>
      <c r="F10" s="203"/>
      <c r="G10" s="225"/>
    </row>
    <row r="11" spans="1:9" x14ac:dyDescent="0.3">
      <c r="A11" s="24" t="s">
        <v>42</v>
      </c>
      <c r="B11" s="22" t="s">
        <v>20</v>
      </c>
      <c r="C11" s="7">
        <v>395</v>
      </c>
      <c r="D11" s="210">
        <v>337</v>
      </c>
      <c r="E11" s="202">
        <f>D11/15</f>
        <v>22.466666666666665</v>
      </c>
      <c r="F11" s="202">
        <f>D11/18</f>
        <v>18.722222222222221</v>
      </c>
      <c r="G11" s="224" t="s">
        <v>81</v>
      </c>
    </row>
    <row r="12" spans="1:9" x14ac:dyDescent="0.3">
      <c r="A12" s="24" t="s">
        <v>42</v>
      </c>
      <c r="B12" s="22" t="s">
        <v>30</v>
      </c>
      <c r="C12" s="7">
        <v>100</v>
      </c>
      <c r="D12" s="211"/>
      <c r="E12" s="203"/>
      <c r="F12" s="203"/>
      <c r="G12" s="225"/>
    </row>
    <row r="13" spans="1:9" x14ac:dyDescent="0.3">
      <c r="A13" s="24" t="s">
        <v>42</v>
      </c>
      <c r="B13" s="22" t="s">
        <v>43</v>
      </c>
      <c r="C13" s="7">
        <v>95</v>
      </c>
      <c r="D13" s="211"/>
      <c r="E13" s="203"/>
      <c r="F13" s="203"/>
      <c r="G13" s="225"/>
    </row>
    <row r="14" spans="1:9" ht="49.95" customHeight="1" x14ac:dyDescent="0.3">
      <c r="A14" s="24" t="s">
        <v>42</v>
      </c>
      <c r="B14" s="22" t="s">
        <v>70</v>
      </c>
      <c r="C14" s="7" t="s">
        <v>68</v>
      </c>
      <c r="D14" s="211"/>
      <c r="E14" s="203"/>
      <c r="F14" s="203"/>
      <c r="G14" s="225"/>
    </row>
    <row r="15" spans="1:9" x14ac:dyDescent="0.3">
      <c r="A15" s="24" t="s">
        <v>27</v>
      </c>
      <c r="B15" s="22" t="s">
        <v>20</v>
      </c>
      <c r="C15" s="7">
        <v>395</v>
      </c>
      <c r="D15" s="210">
        <v>390</v>
      </c>
      <c r="E15" s="202">
        <f>D15/15</f>
        <v>26</v>
      </c>
      <c r="F15" s="202">
        <f>D15/18</f>
        <v>21.666666666666668</v>
      </c>
      <c r="G15" s="224" t="s">
        <v>82</v>
      </c>
    </row>
    <row r="16" spans="1:9" x14ac:dyDescent="0.3">
      <c r="A16" s="24" t="s">
        <v>27</v>
      </c>
      <c r="B16" s="22" t="s">
        <v>30</v>
      </c>
      <c r="C16" s="7">
        <v>100</v>
      </c>
      <c r="D16" s="211"/>
      <c r="E16" s="203"/>
      <c r="F16" s="203"/>
      <c r="G16" s="225"/>
    </row>
    <row r="17" spans="1:7" x14ac:dyDescent="0.3">
      <c r="A17" s="24" t="s">
        <v>27</v>
      </c>
      <c r="B17" s="22" t="s">
        <v>45</v>
      </c>
      <c r="C17" s="7">
        <v>50</v>
      </c>
      <c r="D17" s="211"/>
      <c r="E17" s="203"/>
      <c r="F17" s="203"/>
      <c r="G17" s="225"/>
    </row>
    <row r="18" spans="1:7" ht="49.95" customHeight="1" x14ac:dyDescent="0.3">
      <c r="A18" s="24" t="s">
        <v>27</v>
      </c>
      <c r="B18" s="22" t="s">
        <v>45</v>
      </c>
      <c r="C18" s="7" t="s">
        <v>68</v>
      </c>
      <c r="D18" s="211"/>
      <c r="E18" s="203"/>
      <c r="F18" s="203"/>
      <c r="G18" s="225"/>
    </row>
    <row r="19" spans="1:7" x14ac:dyDescent="0.3">
      <c r="A19" s="24" t="s">
        <v>76</v>
      </c>
      <c r="B19" s="22" t="s">
        <v>20</v>
      </c>
      <c r="C19" s="7">
        <v>395</v>
      </c>
      <c r="D19" s="210">
        <v>410</v>
      </c>
      <c r="E19" s="202">
        <f>D19/15</f>
        <v>27.333333333333332</v>
      </c>
      <c r="F19" s="202">
        <f>D19/18</f>
        <v>22.777777777777779</v>
      </c>
      <c r="G19" s="224" t="s">
        <v>83</v>
      </c>
    </row>
    <row r="20" spans="1:7" x14ac:dyDescent="0.3">
      <c r="A20" s="24" t="s">
        <v>76</v>
      </c>
      <c r="B20" s="22" t="s">
        <v>30</v>
      </c>
      <c r="C20" s="7">
        <v>100</v>
      </c>
      <c r="D20" s="211"/>
      <c r="E20" s="203"/>
      <c r="F20" s="203"/>
      <c r="G20" s="225"/>
    </row>
    <row r="21" spans="1:7" x14ac:dyDescent="0.3">
      <c r="A21" s="24" t="s">
        <v>76</v>
      </c>
      <c r="B21" s="22" t="s">
        <v>46</v>
      </c>
      <c r="C21" s="7">
        <v>50</v>
      </c>
      <c r="D21" s="211"/>
      <c r="E21" s="203"/>
      <c r="F21" s="203"/>
      <c r="G21" s="225"/>
    </row>
    <row r="22" spans="1:7" ht="49.95" customHeight="1" x14ac:dyDescent="0.3">
      <c r="A22" s="24" t="s">
        <v>76</v>
      </c>
      <c r="B22" s="22" t="s">
        <v>69</v>
      </c>
      <c r="C22" s="7" t="s">
        <v>68</v>
      </c>
      <c r="D22" s="211"/>
      <c r="E22" s="203"/>
      <c r="F22" s="203"/>
      <c r="G22" s="225"/>
    </row>
    <row r="23" spans="1:7" x14ac:dyDescent="0.3">
      <c r="A23" s="24" t="s">
        <v>47</v>
      </c>
      <c r="B23" s="22" t="s">
        <v>20</v>
      </c>
      <c r="C23" s="7">
        <v>395</v>
      </c>
      <c r="D23" s="210">
        <v>348</v>
      </c>
      <c r="E23" s="202">
        <f>D23/15</f>
        <v>23.2</v>
      </c>
      <c r="F23" s="202">
        <f>D23/18</f>
        <v>19.333333333333332</v>
      </c>
      <c r="G23" s="224" t="s">
        <v>84</v>
      </c>
    </row>
    <row r="24" spans="1:7" x14ac:dyDescent="0.3">
      <c r="A24" s="24" t="s">
        <v>47</v>
      </c>
      <c r="B24" s="22" t="s">
        <v>30</v>
      </c>
      <c r="C24" s="7">
        <v>100</v>
      </c>
      <c r="D24" s="211"/>
      <c r="E24" s="203"/>
      <c r="F24" s="203"/>
      <c r="G24" s="225"/>
    </row>
    <row r="25" spans="1:7" x14ac:dyDescent="0.3">
      <c r="A25" s="24" t="s">
        <v>47</v>
      </c>
      <c r="B25" s="22" t="s">
        <v>62</v>
      </c>
      <c r="C25" s="7">
        <v>80</v>
      </c>
      <c r="D25" s="211"/>
      <c r="E25" s="203"/>
      <c r="F25" s="203"/>
      <c r="G25" s="225"/>
    </row>
    <row r="26" spans="1:7" x14ac:dyDescent="0.3">
      <c r="A26" s="24" t="s">
        <v>47</v>
      </c>
      <c r="B26" s="22" t="s">
        <v>72</v>
      </c>
      <c r="C26" s="7" t="s">
        <v>68</v>
      </c>
      <c r="D26" s="211"/>
      <c r="E26" s="203"/>
      <c r="F26" s="203"/>
      <c r="G26" s="225"/>
    </row>
    <row r="27" spans="1:7" ht="70.2" customHeight="1" x14ac:dyDescent="0.3">
      <c r="A27" s="24" t="s">
        <v>47</v>
      </c>
      <c r="B27" s="22" t="s">
        <v>62</v>
      </c>
      <c r="C27" s="7" t="s">
        <v>67</v>
      </c>
      <c r="D27" s="212"/>
      <c r="E27" s="204"/>
      <c r="F27" s="204"/>
      <c r="G27" s="226"/>
    </row>
    <row r="28" spans="1:7" x14ac:dyDescent="0.3">
      <c r="A28" s="24" t="s">
        <v>48</v>
      </c>
      <c r="B28" s="22" t="s">
        <v>20</v>
      </c>
      <c r="C28" s="7">
        <v>395</v>
      </c>
      <c r="D28" s="213">
        <v>344</v>
      </c>
      <c r="E28" s="188">
        <f>D28/15</f>
        <v>22.933333333333334</v>
      </c>
      <c r="F28" s="188">
        <f>D28/18</f>
        <v>19.111111111111111</v>
      </c>
      <c r="G28" s="223" t="s">
        <v>85</v>
      </c>
    </row>
    <row r="29" spans="1:7" x14ac:dyDescent="0.3">
      <c r="A29" s="24" t="s">
        <v>48</v>
      </c>
      <c r="B29" s="22" t="s">
        <v>30</v>
      </c>
      <c r="C29" s="7">
        <v>100</v>
      </c>
      <c r="D29" s="213"/>
      <c r="E29" s="188"/>
      <c r="F29" s="188"/>
      <c r="G29" s="223"/>
    </row>
    <row r="30" spans="1:7" x14ac:dyDescent="0.3">
      <c r="A30" s="24" t="s">
        <v>48</v>
      </c>
      <c r="B30" s="22" t="s">
        <v>49</v>
      </c>
      <c r="C30" s="7">
        <v>50</v>
      </c>
      <c r="D30" s="213"/>
      <c r="E30" s="188"/>
      <c r="F30" s="188"/>
      <c r="G30" s="223"/>
    </row>
    <row r="31" spans="1:7" ht="49.95" customHeight="1" x14ac:dyDescent="0.3">
      <c r="A31" s="24" t="s">
        <v>48</v>
      </c>
      <c r="B31" s="22" t="s">
        <v>73</v>
      </c>
      <c r="C31" s="7" t="s">
        <v>68</v>
      </c>
      <c r="D31" s="213"/>
      <c r="E31" s="188"/>
      <c r="F31" s="188"/>
      <c r="G31" s="223"/>
    </row>
  </sheetData>
  <autoFilter ref="A1:G31" xr:uid="{00000000-0009-0000-0000-000004000000}"/>
  <mergeCells count="28">
    <mergeCell ref="F15:F18"/>
    <mergeCell ref="F19:F22"/>
    <mergeCell ref="F23:F27"/>
    <mergeCell ref="F28:F31"/>
    <mergeCell ref="G2:G6"/>
    <mergeCell ref="D7:D10"/>
    <mergeCell ref="G7:G10"/>
    <mergeCell ref="D11:D14"/>
    <mergeCell ref="G11:G14"/>
    <mergeCell ref="F2:F6"/>
    <mergeCell ref="F7:F10"/>
    <mergeCell ref="F11:F14"/>
    <mergeCell ref="D28:D31"/>
    <mergeCell ref="G28:G31"/>
    <mergeCell ref="E2:E6"/>
    <mergeCell ref="E7:E10"/>
    <mergeCell ref="E11:E14"/>
    <mergeCell ref="E15:E18"/>
    <mergeCell ref="E19:E22"/>
    <mergeCell ref="E23:E27"/>
    <mergeCell ref="E28:E31"/>
    <mergeCell ref="D15:D18"/>
    <mergeCell ref="G15:G18"/>
    <mergeCell ref="D19:D22"/>
    <mergeCell ref="G19:G22"/>
    <mergeCell ref="D23:D27"/>
    <mergeCell ref="G23:G27"/>
    <mergeCell ref="D2:D6"/>
  </mergeCell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3A876-7568-4F06-B427-3E33C6977A04}">
  <dimension ref="B1:X103"/>
  <sheetViews>
    <sheetView showGridLines="0" topLeftCell="G1" zoomScale="70" zoomScaleNormal="70" workbookViewId="0">
      <selection activeCell="Q5" sqref="Q5"/>
    </sheetView>
  </sheetViews>
  <sheetFormatPr defaultRowHeight="14.4" x14ac:dyDescent="0.3"/>
  <cols>
    <col min="1" max="1" width="3.44140625" style="10" customWidth="1"/>
    <col min="2" max="2" width="14.109375" style="10" customWidth="1"/>
    <col min="3" max="3" width="36.33203125" style="10" customWidth="1"/>
    <col min="4" max="4" width="11.33203125" style="10" customWidth="1"/>
    <col min="5" max="5" width="3.5546875" style="10" customWidth="1"/>
    <col min="6" max="6" width="14.109375" style="10" customWidth="1"/>
    <col min="7" max="7" width="35.33203125" style="10" bestFit="1" customWidth="1"/>
    <col min="8" max="8" width="11.33203125" style="10" customWidth="1"/>
    <col min="9" max="9" width="3.5546875" style="10" customWidth="1"/>
    <col min="10" max="10" width="14.109375" style="10" customWidth="1"/>
    <col min="11" max="11" width="33.5546875" style="10" bestFit="1" customWidth="1"/>
    <col min="12" max="12" width="11.33203125" style="10" customWidth="1"/>
    <col min="13" max="13" width="3.5546875" style="10" customWidth="1"/>
    <col min="14" max="14" width="24.77734375" style="10" customWidth="1"/>
    <col min="15" max="15" width="27.109375" style="10" bestFit="1" customWidth="1"/>
    <col min="16" max="16" width="12" style="10" customWidth="1"/>
    <col min="17" max="18" width="8.88671875" style="10"/>
    <col min="19" max="19" width="15.21875" customWidth="1"/>
    <col min="20" max="20" width="41.6640625" style="1" bestFit="1" customWidth="1"/>
    <col min="21" max="21" width="9.109375" customWidth="1"/>
    <col min="23" max="23" width="9.109375" customWidth="1"/>
    <col min="25" max="16384" width="8.88671875" style="10"/>
  </cols>
  <sheetData>
    <row r="1" spans="2:24" ht="15" thickBot="1" x14ac:dyDescent="0.35"/>
    <row r="2" spans="2:24" ht="25.2" customHeight="1" x14ac:dyDescent="0.3">
      <c r="B2" s="233" t="s">
        <v>205</v>
      </c>
      <c r="C2" s="234"/>
      <c r="D2" s="235"/>
      <c r="E2" s="100"/>
      <c r="F2" s="233" t="s">
        <v>206</v>
      </c>
      <c r="G2" s="234"/>
      <c r="H2" s="235"/>
      <c r="I2" s="100"/>
      <c r="J2" s="233" t="s">
        <v>207</v>
      </c>
      <c r="K2" s="234"/>
      <c r="L2" s="235"/>
      <c r="M2" s="101"/>
      <c r="N2" s="236" t="s">
        <v>212</v>
      </c>
      <c r="O2" s="237"/>
      <c r="P2" s="238"/>
      <c r="S2" s="11" t="s">
        <v>25</v>
      </c>
      <c r="T2" s="11" t="s">
        <v>0</v>
      </c>
      <c r="U2" s="11" t="s">
        <v>220</v>
      </c>
      <c r="W2" s="11" t="s">
        <v>220</v>
      </c>
    </row>
    <row r="3" spans="2:24" ht="25.2" customHeight="1" x14ac:dyDescent="0.3">
      <c r="B3" s="102" t="s">
        <v>25</v>
      </c>
      <c r="C3" s="11" t="s">
        <v>0</v>
      </c>
      <c r="D3" s="108" t="s">
        <v>211</v>
      </c>
      <c r="E3" s="100"/>
      <c r="F3" s="102" t="s">
        <v>25</v>
      </c>
      <c r="G3" s="11" t="s">
        <v>0</v>
      </c>
      <c r="H3" s="108" t="s">
        <v>211</v>
      </c>
      <c r="I3" s="100"/>
      <c r="J3" s="102" t="s">
        <v>25</v>
      </c>
      <c r="K3" s="11" t="s">
        <v>0</v>
      </c>
      <c r="L3" s="108" t="s">
        <v>211</v>
      </c>
      <c r="M3" s="100"/>
      <c r="N3" s="109" t="s">
        <v>25</v>
      </c>
      <c r="O3" s="110" t="s">
        <v>0</v>
      </c>
      <c r="P3" s="111" t="s">
        <v>211</v>
      </c>
      <c r="S3" s="90" t="s">
        <v>41</v>
      </c>
      <c r="T3" s="24" t="s">
        <v>87</v>
      </c>
      <c r="U3" s="24">
        <v>15</v>
      </c>
      <c r="W3" s="24">
        <v>18</v>
      </c>
      <c r="X3">
        <f>COUNTIF(U:U,W3)</f>
        <v>3</v>
      </c>
    </row>
    <row r="4" spans="2:24" s="99" customFormat="1" ht="25.2" customHeight="1" x14ac:dyDescent="0.3">
      <c r="B4" s="106" t="s">
        <v>41</v>
      </c>
      <c r="C4" s="24" t="s">
        <v>122</v>
      </c>
      <c r="D4" s="103">
        <v>22</v>
      </c>
      <c r="F4" s="106" t="s">
        <v>41</v>
      </c>
      <c r="G4" s="24" t="s">
        <v>128</v>
      </c>
      <c r="H4" s="103">
        <v>22</v>
      </c>
      <c r="J4" s="106" t="s">
        <v>41</v>
      </c>
      <c r="K4" s="24" t="s">
        <v>87</v>
      </c>
      <c r="L4" s="103">
        <v>22</v>
      </c>
      <c r="N4" s="114"/>
      <c r="O4" s="112"/>
      <c r="P4" s="115">
        <v>22</v>
      </c>
      <c r="S4" s="90" t="s">
        <v>44</v>
      </c>
      <c r="T4" s="24" t="s">
        <v>26</v>
      </c>
      <c r="U4" s="24">
        <v>15</v>
      </c>
      <c r="V4"/>
      <c r="W4" s="24">
        <v>15</v>
      </c>
      <c r="X4">
        <f>COUNTIF(U:U,W4)</f>
        <v>10</v>
      </c>
    </row>
    <row r="5" spans="2:24" s="99" customFormat="1" ht="25.2" customHeight="1" x14ac:dyDescent="0.3">
      <c r="B5" s="106" t="s">
        <v>41</v>
      </c>
      <c r="C5" s="24" t="s">
        <v>101</v>
      </c>
      <c r="D5" s="103">
        <v>22</v>
      </c>
      <c r="F5" s="106" t="s">
        <v>41</v>
      </c>
      <c r="G5" s="24" t="s">
        <v>132</v>
      </c>
      <c r="H5" s="103">
        <v>22</v>
      </c>
      <c r="J5" s="106" t="s">
        <v>41</v>
      </c>
      <c r="K5" s="24" t="s">
        <v>134</v>
      </c>
      <c r="L5" s="103">
        <v>22</v>
      </c>
      <c r="N5" s="114"/>
      <c r="O5" s="112"/>
      <c r="P5" s="115">
        <v>22</v>
      </c>
      <c r="S5" s="90" t="s">
        <v>44</v>
      </c>
      <c r="T5" s="24" t="s">
        <v>42</v>
      </c>
      <c r="U5" s="24">
        <v>15</v>
      </c>
      <c r="V5"/>
      <c r="W5" s="24">
        <v>13</v>
      </c>
      <c r="X5">
        <f>COUNTIF(U:U,W5)</f>
        <v>7</v>
      </c>
    </row>
    <row r="6" spans="2:24" s="99" customFormat="1" ht="25.2" customHeight="1" x14ac:dyDescent="0.3">
      <c r="B6" s="106" t="s">
        <v>41</v>
      </c>
      <c r="C6" s="24" t="s">
        <v>127</v>
      </c>
      <c r="D6" s="103">
        <v>22</v>
      </c>
      <c r="F6" s="106" t="s">
        <v>41</v>
      </c>
      <c r="G6" s="24" t="s">
        <v>136</v>
      </c>
      <c r="H6" s="103">
        <v>22</v>
      </c>
      <c r="J6" s="106" t="s">
        <v>41</v>
      </c>
      <c r="K6" s="24" t="s">
        <v>131</v>
      </c>
      <c r="L6" s="103">
        <v>22</v>
      </c>
      <c r="N6" s="114"/>
      <c r="O6" s="112"/>
      <c r="P6" s="115">
        <v>22</v>
      </c>
      <c r="S6" s="90" t="s">
        <v>44</v>
      </c>
      <c r="T6" s="24" t="s">
        <v>121</v>
      </c>
      <c r="U6" s="24">
        <v>18</v>
      </c>
      <c r="V6"/>
      <c r="W6" s="24">
        <v>8</v>
      </c>
      <c r="X6">
        <f>COUNTIF(U:U,W6)</f>
        <v>1</v>
      </c>
    </row>
    <row r="7" spans="2:24" s="99" customFormat="1" ht="25.2" customHeight="1" x14ac:dyDescent="0.3">
      <c r="B7" s="106" t="s">
        <v>44</v>
      </c>
      <c r="C7" s="24" t="s">
        <v>75</v>
      </c>
      <c r="D7" s="103">
        <v>22</v>
      </c>
      <c r="F7" s="106" t="s">
        <v>44</v>
      </c>
      <c r="G7" s="24" t="s">
        <v>75</v>
      </c>
      <c r="H7" s="103">
        <v>22</v>
      </c>
      <c r="J7" s="106" t="s">
        <v>44</v>
      </c>
      <c r="K7" s="24" t="s">
        <v>75</v>
      </c>
      <c r="L7" s="103">
        <v>22</v>
      </c>
      <c r="N7" s="114"/>
      <c r="O7" s="112"/>
      <c r="P7" s="115">
        <v>22</v>
      </c>
      <c r="S7" s="90" t="s">
        <v>41</v>
      </c>
      <c r="T7" s="24" t="s">
        <v>122</v>
      </c>
      <c r="U7" s="24">
        <v>15</v>
      </c>
      <c r="V7"/>
      <c r="W7" s="24">
        <v>5</v>
      </c>
      <c r="X7">
        <f>COUNTIF(U:U,W7)</f>
        <v>1</v>
      </c>
    </row>
    <row r="8" spans="2:24" s="99" customFormat="1" ht="25.2" customHeight="1" x14ac:dyDescent="0.3">
      <c r="B8" s="106" t="s">
        <v>44</v>
      </c>
      <c r="C8" s="24" t="s">
        <v>26</v>
      </c>
      <c r="D8" s="103">
        <v>22</v>
      </c>
      <c r="F8" s="106" t="s">
        <v>44</v>
      </c>
      <c r="G8" s="24" t="s">
        <v>26</v>
      </c>
      <c r="H8" s="103">
        <v>22</v>
      </c>
      <c r="J8" s="106" t="s">
        <v>44</v>
      </c>
      <c r="K8" s="24" t="s">
        <v>26</v>
      </c>
      <c r="L8" s="103">
        <v>22</v>
      </c>
      <c r="N8" s="114"/>
      <c r="O8" s="112"/>
      <c r="P8" s="115">
        <v>22</v>
      </c>
      <c r="S8" s="90" t="s">
        <v>41</v>
      </c>
      <c r="T8" s="24" t="s">
        <v>101</v>
      </c>
      <c r="U8" s="24">
        <v>15</v>
      </c>
      <c r="V8"/>
      <c r="W8"/>
      <c r="X8"/>
    </row>
    <row r="9" spans="2:24" s="99" customFormat="1" ht="25.2" customHeight="1" thickBot="1" x14ac:dyDescent="0.35">
      <c r="B9" s="107" t="s">
        <v>44</v>
      </c>
      <c r="C9" s="104" t="s">
        <v>121</v>
      </c>
      <c r="D9" s="105">
        <v>22</v>
      </c>
      <c r="F9" s="107" t="s">
        <v>44</v>
      </c>
      <c r="G9" s="104" t="s">
        <v>123</v>
      </c>
      <c r="H9" s="105">
        <v>22</v>
      </c>
      <c r="J9" s="107" t="s">
        <v>44</v>
      </c>
      <c r="K9" s="104" t="s">
        <v>48</v>
      </c>
      <c r="L9" s="105">
        <v>22</v>
      </c>
      <c r="N9" s="114"/>
      <c r="O9" s="112"/>
      <c r="P9" s="115">
        <v>22</v>
      </c>
      <c r="S9" s="90" t="s">
        <v>44</v>
      </c>
      <c r="T9" s="24" t="s">
        <v>75</v>
      </c>
      <c r="U9" s="24">
        <v>18</v>
      </c>
      <c r="V9"/>
      <c r="W9"/>
      <c r="X9"/>
    </row>
    <row r="10" spans="2:24" s="99" customFormat="1" ht="25.2" customHeight="1" x14ac:dyDescent="0.3">
      <c r="D10" s="99">
        <f>SUM(D4:D9)</f>
        <v>132</v>
      </c>
      <c r="H10" s="99">
        <f>SUM(H4:H9)</f>
        <v>132</v>
      </c>
      <c r="L10" s="99">
        <f>SUM(L4:L9)</f>
        <v>132</v>
      </c>
      <c r="N10" s="114"/>
      <c r="O10" s="112"/>
      <c r="P10" s="115"/>
      <c r="S10" s="90" t="s">
        <v>44</v>
      </c>
      <c r="T10" s="24" t="s">
        <v>123</v>
      </c>
      <c r="U10" s="24">
        <v>8</v>
      </c>
      <c r="V10"/>
      <c r="W10"/>
      <c r="X10"/>
    </row>
    <row r="11" spans="2:24" s="99" customFormat="1" ht="25.2" customHeight="1" thickBot="1" x14ac:dyDescent="0.35">
      <c r="N11" s="114"/>
      <c r="O11" s="112"/>
      <c r="P11" s="115"/>
      <c r="S11" s="90" t="s">
        <v>44</v>
      </c>
      <c r="T11" s="24" t="s">
        <v>48</v>
      </c>
      <c r="U11" s="24">
        <v>15</v>
      </c>
      <c r="V11"/>
      <c r="W11"/>
      <c r="X11"/>
    </row>
    <row r="12" spans="2:24" ht="25.2" customHeight="1" x14ac:dyDescent="0.3">
      <c r="B12" s="233" t="s">
        <v>208</v>
      </c>
      <c r="C12" s="234"/>
      <c r="D12" s="235"/>
      <c r="F12" s="233" t="s">
        <v>209</v>
      </c>
      <c r="G12" s="234"/>
      <c r="H12" s="235"/>
      <c r="I12" s="100"/>
      <c r="J12" s="233" t="s">
        <v>210</v>
      </c>
      <c r="K12" s="234"/>
      <c r="L12" s="235"/>
      <c r="N12" s="116"/>
      <c r="O12" s="113"/>
      <c r="P12" s="117"/>
      <c r="S12" s="90" t="s">
        <v>41</v>
      </c>
      <c r="T12" s="24" t="s">
        <v>124</v>
      </c>
      <c r="U12" s="24">
        <v>13</v>
      </c>
    </row>
    <row r="13" spans="2:24" ht="25.2" customHeight="1" x14ac:dyDescent="0.3">
      <c r="B13" s="102" t="s">
        <v>25</v>
      </c>
      <c r="C13" s="11" t="s">
        <v>0</v>
      </c>
      <c r="D13" s="108" t="s">
        <v>211</v>
      </c>
      <c r="F13" s="102" t="s">
        <v>25</v>
      </c>
      <c r="G13" s="11" t="s">
        <v>0</v>
      </c>
      <c r="H13" s="108" t="s">
        <v>211</v>
      </c>
      <c r="I13" s="100"/>
      <c r="J13" s="102" t="s">
        <v>25</v>
      </c>
      <c r="K13" s="11" t="s">
        <v>0</v>
      </c>
      <c r="L13" s="108" t="s">
        <v>211</v>
      </c>
      <c r="N13" s="116"/>
      <c r="O13" s="113"/>
      <c r="P13" s="117"/>
      <c r="S13" s="90" t="s">
        <v>41</v>
      </c>
      <c r="T13" s="24" t="s">
        <v>125</v>
      </c>
      <c r="U13" s="24">
        <v>13</v>
      </c>
    </row>
    <row r="14" spans="2:24" s="99" customFormat="1" ht="25.2" customHeight="1" x14ac:dyDescent="0.3">
      <c r="B14" s="106" t="s">
        <v>41</v>
      </c>
      <c r="C14" s="24" t="s">
        <v>135</v>
      </c>
      <c r="D14" s="103">
        <v>22</v>
      </c>
      <c r="F14" s="106" t="s">
        <v>41</v>
      </c>
      <c r="G14" s="24" t="s">
        <v>124</v>
      </c>
      <c r="H14" s="103">
        <v>22</v>
      </c>
      <c r="J14" s="106" t="s">
        <v>41</v>
      </c>
      <c r="K14" s="24" t="s">
        <v>133</v>
      </c>
      <c r="L14" s="103">
        <v>22</v>
      </c>
      <c r="N14" s="114"/>
      <c r="O14" s="112"/>
      <c r="P14" s="115"/>
      <c r="S14" s="90" t="s">
        <v>41</v>
      </c>
      <c r="T14" s="24" t="s">
        <v>126</v>
      </c>
      <c r="U14" s="24">
        <v>15</v>
      </c>
      <c r="V14"/>
      <c r="W14"/>
      <c r="X14"/>
    </row>
    <row r="15" spans="2:24" s="99" customFormat="1" ht="25.2" customHeight="1" x14ac:dyDescent="0.3">
      <c r="B15" s="106" t="s">
        <v>41</v>
      </c>
      <c r="C15" s="24" t="s">
        <v>129</v>
      </c>
      <c r="D15" s="103">
        <v>22</v>
      </c>
      <c r="F15" s="106" t="s">
        <v>41</v>
      </c>
      <c r="G15" s="24" t="s">
        <v>129</v>
      </c>
      <c r="H15" s="103">
        <v>22</v>
      </c>
      <c r="J15" s="106" t="s">
        <v>41</v>
      </c>
      <c r="K15" s="24" t="s">
        <v>126</v>
      </c>
      <c r="L15" s="103">
        <v>22</v>
      </c>
      <c r="N15" s="114"/>
      <c r="O15" s="112"/>
      <c r="P15" s="115"/>
      <c r="S15" s="90" t="s">
        <v>41</v>
      </c>
      <c r="T15" s="24" t="s">
        <v>127</v>
      </c>
      <c r="U15" s="24">
        <v>13</v>
      </c>
      <c r="V15"/>
      <c r="W15"/>
      <c r="X15"/>
    </row>
    <row r="16" spans="2:24" s="99" customFormat="1" ht="25.2" customHeight="1" x14ac:dyDescent="0.3">
      <c r="B16" s="106" t="s">
        <v>41</v>
      </c>
      <c r="C16" s="24" t="s">
        <v>130</v>
      </c>
      <c r="D16" s="103">
        <v>22</v>
      </c>
      <c r="F16" s="106" t="s">
        <v>41</v>
      </c>
      <c r="G16" s="24" t="s">
        <v>125</v>
      </c>
      <c r="H16" s="103">
        <v>22</v>
      </c>
      <c r="J16" s="106" t="s">
        <v>41</v>
      </c>
      <c r="K16" s="24" t="s">
        <v>122</v>
      </c>
      <c r="L16" s="103">
        <v>22</v>
      </c>
      <c r="N16" s="114"/>
      <c r="O16" s="112"/>
      <c r="P16" s="115"/>
      <c r="S16" s="90" t="s">
        <v>41</v>
      </c>
      <c r="T16" s="24" t="s">
        <v>128</v>
      </c>
      <c r="U16" s="24">
        <v>15</v>
      </c>
      <c r="V16"/>
      <c r="W16"/>
      <c r="X16"/>
    </row>
    <row r="17" spans="2:24" s="99" customFormat="1" ht="25.2" customHeight="1" x14ac:dyDescent="0.3">
      <c r="B17" s="106" t="s">
        <v>44</v>
      </c>
      <c r="C17" s="24" t="s">
        <v>75</v>
      </c>
      <c r="D17" s="103">
        <v>22</v>
      </c>
      <c r="F17" s="106" t="s">
        <v>44</v>
      </c>
      <c r="G17" s="24" t="s">
        <v>75</v>
      </c>
      <c r="H17" s="103">
        <v>22</v>
      </c>
      <c r="J17" s="106" t="s">
        <v>44</v>
      </c>
      <c r="K17" s="24" t="s">
        <v>75</v>
      </c>
      <c r="L17" s="103">
        <v>22</v>
      </c>
      <c r="N17" s="114"/>
      <c r="O17" s="112"/>
      <c r="P17" s="115"/>
      <c r="S17" s="90" t="s">
        <v>41</v>
      </c>
      <c r="T17" s="24" t="s">
        <v>129</v>
      </c>
      <c r="U17" s="24">
        <v>18</v>
      </c>
      <c r="V17"/>
      <c r="W17"/>
      <c r="X17"/>
    </row>
    <row r="18" spans="2:24" s="99" customFormat="1" ht="25.2" customHeight="1" x14ac:dyDescent="0.3">
      <c r="B18" s="106" t="s">
        <v>44</v>
      </c>
      <c r="C18" s="24" t="s">
        <v>26</v>
      </c>
      <c r="D18" s="103">
        <v>22</v>
      </c>
      <c r="F18" s="106" t="s">
        <v>44</v>
      </c>
      <c r="G18" s="24" t="s">
        <v>26</v>
      </c>
      <c r="H18" s="103">
        <v>22</v>
      </c>
      <c r="J18" s="106" t="s">
        <v>44</v>
      </c>
      <c r="K18" s="24" t="s">
        <v>26</v>
      </c>
      <c r="L18" s="103">
        <v>22</v>
      </c>
      <c r="N18" s="114"/>
      <c r="O18" s="112"/>
      <c r="P18" s="115"/>
      <c r="S18" s="90" t="s">
        <v>41</v>
      </c>
      <c r="T18" s="24" t="s">
        <v>130</v>
      </c>
      <c r="U18" s="24">
        <v>13</v>
      </c>
      <c r="V18"/>
      <c r="W18"/>
      <c r="X18"/>
    </row>
    <row r="19" spans="2:24" s="99" customFormat="1" ht="25.2" customHeight="1" thickBot="1" x14ac:dyDescent="0.35">
      <c r="B19" s="107" t="s">
        <v>44</v>
      </c>
      <c r="C19" s="104" t="s">
        <v>42</v>
      </c>
      <c r="D19" s="105">
        <v>22</v>
      </c>
      <c r="F19" s="107" t="s">
        <v>44</v>
      </c>
      <c r="G19" s="104" t="s">
        <v>123</v>
      </c>
      <c r="H19" s="105">
        <v>22</v>
      </c>
      <c r="J19" s="107" t="s">
        <v>44</v>
      </c>
      <c r="K19" s="104" t="s">
        <v>48</v>
      </c>
      <c r="L19" s="105">
        <v>22</v>
      </c>
      <c r="N19" s="118"/>
      <c r="O19" s="119"/>
      <c r="P19" s="120"/>
      <c r="S19" s="90" t="s">
        <v>41</v>
      </c>
      <c r="T19" s="24" t="s">
        <v>131</v>
      </c>
      <c r="U19" s="24">
        <v>5</v>
      </c>
      <c r="V19"/>
      <c r="W19"/>
      <c r="X19"/>
    </row>
    <row r="20" spans="2:24" x14ac:dyDescent="0.3">
      <c r="D20" s="10">
        <f>SUM(D14:D19)</f>
        <v>132</v>
      </c>
      <c r="H20" s="10">
        <f>SUM(H14:H19)</f>
        <v>132</v>
      </c>
      <c r="L20" s="10">
        <f>SUM(L14:L19)</f>
        <v>132</v>
      </c>
      <c r="O20" s="228" t="s">
        <v>213</v>
      </c>
      <c r="P20" s="230">
        <f>SUM(P4:P19)</f>
        <v>132</v>
      </c>
      <c r="S20" s="90" t="s">
        <v>41</v>
      </c>
      <c r="T20" s="24" t="s">
        <v>132</v>
      </c>
      <c r="U20" s="24">
        <v>15</v>
      </c>
    </row>
    <row r="21" spans="2:24" x14ac:dyDescent="0.3">
      <c r="O21" s="228"/>
      <c r="P21" s="230"/>
      <c r="S21" s="90" t="s">
        <v>41</v>
      </c>
      <c r="T21" s="24" t="s">
        <v>133</v>
      </c>
      <c r="U21" s="24">
        <v>15</v>
      </c>
    </row>
    <row r="22" spans="2:24" x14ac:dyDescent="0.3">
      <c r="O22" s="227" t="s">
        <v>214</v>
      </c>
      <c r="P22" s="229">
        <f>P20/12</f>
        <v>11</v>
      </c>
      <c r="S22" s="90" t="s">
        <v>41</v>
      </c>
      <c r="T22" s="24" t="s">
        <v>134</v>
      </c>
      <c r="U22" s="24">
        <v>13</v>
      </c>
    </row>
    <row r="23" spans="2:24" x14ac:dyDescent="0.3">
      <c r="O23" s="228"/>
      <c r="P23" s="230"/>
      <c r="S23" s="90" t="s">
        <v>41</v>
      </c>
      <c r="T23" s="24" t="s">
        <v>135</v>
      </c>
      <c r="U23" s="24">
        <v>13</v>
      </c>
    </row>
    <row r="24" spans="2:24" x14ac:dyDescent="0.3">
      <c r="O24" s="227" t="s">
        <v>215</v>
      </c>
      <c r="P24" s="231">
        <f>P22*20</f>
        <v>220</v>
      </c>
      <c r="S24" s="90" t="s">
        <v>41</v>
      </c>
      <c r="T24" s="24" t="s">
        <v>136</v>
      </c>
      <c r="U24" s="24">
        <v>13</v>
      </c>
    </row>
    <row r="25" spans="2:24" x14ac:dyDescent="0.3">
      <c r="O25" s="228"/>
      <c r="P25" s="232"/>
      <c r="T25"/>
    </row>
    <row r="26" spans="2:24" x14ac:dyDescent="0.3">
      <c r="T26"/>
    </row>
    <row r="27" spans="2:24" x14ac:dyDescent="0.3">
      <c r="T27"/>
    </row>
    <row r="28" spans="2:24" x14ac:dyDescent="0.3">
      <c r="T28"/>
    </row>
    <row r="29" spans="2:24" x14ac:dyDescent="0.3">
      <c r="T29"/>
    </row>
    <row r="30" spans="2:24" x14ac:dyDescent="0.3">
      <c r="T30"/>
    </row>
    <row r="31" spans="2:24" x14ac:dyDescent="0.3">
      <c r="T31"/>
    </row>
    <row r="32" spans="2:24" x14ac:dyDescent="0.3">
      <c r="T32"/>
    </row>
    <row r="33" spans="20:20" x14ac:dyDescent="0.3">
      <c r="T33"/>
    </row>
    <row r="34" spans="20:20" x14ac:dyDescent="0.3">
      <c r="T34"/>
    </row>
    <row r="35" spans="20:20" x14ac:dyDescent="0.3">
      <c r="T35"/>
    </row>
    <row r="36" spans="20:20" x14ac:dyDescent="0.3">
      <c r="T36"/>
    </row>
    <row r="37" spans="20:20" x14ac:dyDescent="0.3">
      <c r="T37"/>
    </row>
    <row r="38" spans="20:20" x14ac:dyDescent="0.3">
      <c r="T38"/>
    </row>
    <row r="39" spans="20:20" x14ac:dyDescent="0.3">
      <c r="T39"/>
    </row>
    <row r="40" spans="20:20" x14ac:dyDescent="0.3">
      <c r="T40"/>
    </row>
    <row r="41" spans="20:20" x14ac:dyDescent="0.3">
      <c r="T41"/>
    </row>
    <row r="42" spans="20:20" x14ac:dyDescent="0.3">
      <c r="T42"/>
    </row>
    <row r="43" spans="20:20" x14ac:dyDescent="0.3">
      <c r="T43"/>
    </row>
    <row r="44" spans="20:20" x14ac:dyDescent="0.3">
      <c r="T44"/>
    </row>
    <row r="45" spans="20:20" x14ac:dyDescent="0.3">
      <c r="T45"/>
    </row>
    <row r="46" spans="20:20" x14ac:dyDescent="0.3">
      <c r="T46"/>
    </row>
    <row r="47" spans="20:20" x14ac:dyDescent="0.3">
      <c r="T47"/>
    </row>
    <row r="48" spans="20:20" x14ac:dyDescent="0.3">
      <c r="T48"/>
    </row>
    <row r="49" spans="20:20" x14ac:dyDescent="0.3">
      <c r="T49"/>
    </row>
    <row r="50" spans="20:20" x14ac:dyDescent="0.3">
      <c r="T50"/>
    </row>
    <row r="51" spans="20:20" x14ac:dyDescent="0.3">
      <c r="T51"/>
    </row>
    <row r="52" spans="20:20" x14ac:dyDescent="0.3">
      <c r="T52"/>
    </row>
    <row r="53" spans="20:20" x14ac:dyDescent="0.3">
      <c r="T53"/>
    </row>
    <row r="54" spans="20:20" x14ac:dyDescent="0.3">
      <c r="T54"/>
    </row>
    <row r="55" spans="20:20" x14ac:dyDescent="0.3">
      <c r="T55"/>
    </row>
    <row r="56" spans="20:20" x14ac:dyDescent="0.3">
      <c r="T56"/>
    </row>
    <row r="57" spans="20:20" x14ac:dyDescent="0.3">
      <c r="T57"/>
    </row>
    <row r="58" spans="20:20" x14ac:dyDescent="0.3">
      <c r="T58"/>
    </row>
    <row r="59" spans="20:20" x14ac:dyDescent="0.3">
      <c r="T59"/>
    </row>
    <row r="60" spans="20:20" x14ac:dyDescent="0.3">
      <c r="T60"/>
    </row>
    <row r="61" spans="20:20" x14ac:dyDescent="0.3">
      <c r="T61"/>
    </row>
    <row r="62" spans="20:20" x14ac:dyDescent="0.3">
      <c r="T62"/>
    </row>
    <row r="63" spans="20:20" x14ac:dyDescent="0.3">
      <c r="T63"/>
    </row>
    <row r="64" spans="20:20" x14ac:dyDescent="0.3">
      <c r="T64"/>
    </row>
    <row r="65" spans="20:20" x14ac:dyDescent="0.3">
      <c r="T65"/>
    </row>
    <row r="66" spans="20:20" x14ac:dyDescent="0.3">
      <c r="T66"/>
    </row>
    <row r="67" spans="20:20" x14ac:dyDescent="0.3">
      <c r="T67"/>
    </row>
    <row r="68" spans="20:20" x14ac:dyDescent="0.3">
      <c r="T68"/>
    </row>
    <row r="69" spans="20:20" x14ac:dyDescent="0.3">
      <c r="T69"/>
    </row>
    <row r="70" spans="20:20" x14ac:dyDescent="0.3">
      <c r="T70"/>
    </row>
    <row r="71" spans="20:20" x14ac:dyDescent="0.3">
      <c r="T71"/>
    </row>
    <row r="72" spans="20:20" x14ac:dyDescent="0.3">
      <c r="T72"/>
    </row>
    <row r="73" spans="20:20" x14ac:dyDescent="0.3">
      <c r="T73"/>
    </row>
    <row r="74" spans="20:20" x14ac:dyDescent="0.3">
      <c r="T74"/>
    </row>
    <row r="75" spans="20:20" x14ac:dyDescent="0.3">
      <c r="T75"/>
    </row>
    <row r="76" spans="20:20" x14ac:dyDescent="0.3">
      <c r="T76"/>
    </row>
    <row r="77" spans="20:20" x14ac:dyDescent="0.3">
      <c r="T77"/>
    </row>
    <row r="78" spans="20:20" x14ac:dyDescent="0.3">
      <c r="T78"/>
    </row>
    <row r="79" spans="20:20" x14ac:dyDescent="0.3">
      <c r="T79"/>
    </row>
    <row r="80" spans="20:20" x14ac:dyDescent="0.3">
      <c r="T80"/>
    </row>
    <row r="81" spans="20:20" x14ac:dyDescent="0.3">
      <c r="T81"/>
    </row>
    <row r="82" spans="20:20" x14ac:dyDescent="0.3">
      <c r="T82"/>
    </row>
    <row r="83" spans="20:20" x14ac:dyDescent="0.3">
      <c r="T83"/>
    </row>
    <row r="84" spans="20:20" x14ac:dyDescent="0.3">
      <c r="T84"/>
    </row>
    <row r="85" spans="20:20" x14ac:dyDescent="0.3">
      <c r="T85"/>
    </row>
    <row r="86" spans="20:20" x14ac:dyDescent="0.3">
      <c r="T86"/>
    </row>
    <row r="87" spans="20:20" x14ac:dyDescent="0.3">
      <c r="T87"/>
    </row>
    <row r="88" spans="20:20" x14ac:dyDescent="0.3">
      <c r="T88"/>
    </row>
    <row r="89" spans="20:20" x14ac:dyDescent="0.3">
      <c r="T89"/>
    </row>
    <row r="90" spans="20:20" x14ac:dyDescent="0.3">
      <c r="T90"/>
    </row>
    <row r="91" spans="20:20" x14ac:dyDescent="0.3">
      <c r="T91"/>
    </row>
    <row r="92" spans="20:20" x14ac:dyDescent="0.3">
      <c r="T92"/>
    </row>
    <row r="93" spans="20:20" x14ac:dyDescent="0.3">
      <c r="T93"/>
    </row>
    <row r="94" spans="20:20" x14ac:dyDescent="0.3">
      <c r="T94"/>
    </row>
    <row r="95" spans="20:20" x14ac:dyDescent="0.3">
      <c r="T95"/>
    </row>
    <row r="96" spans="20:20" x14ac:dyDescent="0.3">
      <c r="T96"/>
    </row>
    <row r="97" spans="20:20" x14ac:dyDescent="0.3">
      <c r="T97"/>
    </row>
    <row r="98" spans="20:20" x14ac:dyDescent="0.3">
      <c r="T98"/>
    </row>
    <row r="99" spans="20:20" x14ac:dyDescent="0.3">
      <c r="T99"/>
    </row>
    <row r="100" spans="20:20" x14ac:dyDescent="0.3">
      <c r="T100"/>
    </row>
    <row r="101" spans="20:20" x14ac:dyDescent="0.3">
      <c r="T101"/>
    </row>
    <row r="102" spans="20:20" x14ac:dyDescent="0.3">
      <c r="T102"/>
    </row>
    <row r="103" spans="20:20" x14ac:dyDescent="0.3">
      <c r="T103"/>
    </row>
  </sheetData>
  <mergeCells count="13">
    <mergeCell ref="B2:D2"/>
    <mergeCell ref="B12:D12"/>
    <mergeCell ref="N2:P2"/>
    <mergeCell ref="P20:P21"/>
    <mergeCell ref="O20:O21"/>
    <mergeCell ref="F12:H12"/>
    <mergeCell ref="J12:L12"/>
    <mergeCell ref="J2:L2"/>
    <mergeCell ref="O22:O23"/>
    <mergeCell ref="P22:P23"/>
    <mergeCell ref="O24:O25"/>
    <mergeCell ref="P24:P25"/>
    <mergeCell ref="F2:H2"/>
  </mergeCells>
  <phoneticPr fontId="4" type="noConversion"/>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4"/>
  <dimension ref="A1:G20"/>
  <sheetViews>
    <sheetView workbookViewId="0">
      <selection activeCell="E17" sqref="E17"/>
    </sheetView>
  </sheetViews>
  <sheetFormatPr defaultRowHeight="14.4" x14ac:dyDescent="0.3"/>
  <cols>
    <col min="1" max="1" width="31.5546875" style="9" customWidth="1"/>
    <col min="3" max="3" width="11.6640625" customWidth="1"/>
    <col min="4" max="4" width="8.109375" customWidth="1"/>
    <col min="5" max="5" width="24.88671875" bestFit="1" customWidth="1"/>
    <col min="7" max="7" width="16" bestFit="1" customWidth="1"/>
  </cols>
  <sheetData>
    <row r="1" spans="1:7" x14ac:dyDescent="0.3">
      <c r="A1" s="20"/>
      <c r="E1" t="s">
        <v>74</v>
      </c>
    </row>
    <row r="2" spans="1:7" x14ac:dyDescent="0.3">
      <c r="A2" s="20" t="s">
        <v>76</v>
      </c>
      <c r="C2" t="s">
        <v>51</v>
      </c>
      <c r="E2" s="5" t="s">
        <v>76</v>
      </c>
      <c r="G2" s="90" t="s">
        <v>168</v>
      </c>
    </row>
    <row r="3" spans="1:7" x14ac:dyDescent="0.3">
      <c r="A3" s="20" t="s">
        <v>47</v>
      </c>
      <c r="C3" t="s">
        <v>52</v>
      </c>
      <c r="E3" s="5" t="s">
        <v>47</v>
      </c>
      <c r="G3" s="90" t="s">
        <v>158</v>
      </c>
    </row>
    <row r="4" spans="1:7" x14ac:dyDescent="0.3">
      <c r="A4" s="20" t="s">
        <v>27</v>
      </c>
      <c r="C4" t="s">
        <v>58</v>
      </c>
      <c r="E4" s="5" t="s">
        <v>27</v>
      </c>
      <c r="G4" s="90" t="s">
        <v>173</v>
      </c>
    </row>
    <row r="5" spans="1:7" x14ac:dyDescent="0.3">
      <c r="A5" s="20" t="s">
        <v>75</v>
      </c>
      <c r="E5" s="5" t="s">
        <v>75</v>
      </c>
      <c r="G5" s="90" t="s">
        <v>169</v>
      </c>
    </row>
    <row r="6" spans="1:7" x14ac:dyDescent="0.3">
      <c r="A6" s="20" t="s">
        <v>26</v>
      </c>
      <c r="E6" s="5" t="s">
        <v>26</v>
      </c>
      <c r="G6" s="90" t="s">
        <v>175</v>
      </c>
    </row>
    <row r="7" spans="1:7" x14ac:dyDescent="0.3">
      <c r="A7" s="20" t="s">
        <v>48</v>
      </c>
      <c r="E7" s="5" t="s">
        <v>48</v>
      </c>
      <c r="G7" s="90" t="s">
        <v>235</v>
      </c>
    </row>
    <row r="8" spans="1:7" x14ac:dyDescent="0.3">
      <c r="A8" s="20" t="s">
        <v>42</v>
      </c>
      <c r="E8" s="5" t="s">
        <v>42</v>
      </c>
    </row>
    <row r="9" spans="1:7" x14ac:dyDescent="0.3">
      <c r="A9" s="20" t="s">
        <v>261</v>
      </c>
      <c r="E9" s="160"/>
    </row>
    <row r="10" spans="1:7" x14ac:dyDescent="0.3">
      <c r="A10" s="21" t="s">
        <v>258</v>
      </c>
    </row>
    <row r="11" spans="1:7" x14ac:dyDescent="0.3">
      <c r="A11" s="21" t="s">
        <v>259</v>
      </c>
    </row>
    <row r="12" spans="1:7" x14ac:dyDescent="0.3">
      <c r="A12" s="21" t="s">
        <v>64</v>
      </c>
    </row>
    <row r="13" spans="1:7" x14ac:dyDescent="0.3">
      <c r="A13" s="21" t="s">
        <v>263</v>
      </c>
    </row>
    <row r="14" spans="1:7" x14ac:dyDescent="0.3">
      <c r="A14" s="21" t="s">
        <v>63</v>
      </c>
    </row>
    <row r="15" spans="1:7" x14ac:dyDescent="0.3">
      <c r="A15" s="21" t="s">
        <v>77</v>
      </c>
    </row>
    <row r="16" spans="1:7" x14ac:dyDescent="0.3">
      <c r="A16" s="21" t="s">
        <v>86</v>
      </c>
    </row>
    <row r="17" spans="1:1" x14ac:dyDescent="0.3">
      <c r="A17" s="21" t="s">
        <v>256</v>
      </c>
    </row>
    <row r="18" spans="1:1" x14ac:dyDescent="0.3">
      <c r="A18" s="21" t="s">
        <v>257</v>
      </c>
    </row>
    <row r="19" spans="1:1" x14ac:dyDescent="0.3">
      <c r="A19" s="21" t="s">
        <v>58</v>
      </c>
    </row>
    <row r="20" spans="1:1" x14ac:dyDescent="0.3">
      <c r="A20" s="21" t="s">
        <v>194</v>
      </c>
    </row>
  </sheetData>
  <sortState xmlns:xlrd2="http://schemas.microsoft.com/office/spreadsheetml/2017/richdata2" ref="E2:E8">
    <sortCondition ref="E3:E8"/>
  </sortState>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8E13725-BFE4-48EA-97C5-438E09D780E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7</vt:i4>
      </vt:variant>
    </vt:vector>
  </HeadingPairs>
  <TitlesOfParts>
    <vt:vector size="7" baseType="lpstr">
      <vt:lpstr>Gráficos</vt:lpstr>
      <vt:lpstr>Vendas e Despesas</vt:lpstr>
      <vt:lpstr>Fluxo de Caixa</vt:lpstr>
      <vt:lpstr>Custo Produto</vt:lpstr>
      <vt:lpstr>RECEITAS</vt:lpstr>
      <vt:lpstr>Planilha1</vt:lpstr>
      <vt:lpstr>Planilha4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Paulo Roberto Talamini</dc:creator>
  <cp:lastModifiedBy>bomdocepm@hotmail.com</cp:lastModifiedBy>
  <dcterms:created xsi:type="dcterms:W3CDTF">2022-03-07T19:12:11Z</dcterms:created>
  <dcterms:modified xsi:type="dcterms:W3CDTF">2025-08-25T03:52:00Z</dcterms:modified>
</cp:coreProperties>
</file>